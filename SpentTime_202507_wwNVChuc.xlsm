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w2vnfs\ShareData\Public\999.ReportTask\SpendTime-Management\wwNVChuc\"/>
    </mc:Choice>
  </mc:AlternateContent>
  <bookViews>
    <workbookView xWindow="0" yWindow="0" windowWidth="24000" windowHeight="9735" tabRatio="674" activeTab="2"/>
  </bookViews>
  <sheets>
    <sheet name="Summary" sheetId="13" r:id="rId1"/>
    <sheet name="wwNVChuc" sheetId="12" r:id="rId2"/>
    <sheet name="Daily_Report" sheetId="9" r:id="rId3"/>
    <sheet name="Data" sheetId="11" r:id="rId4"/>
  </sheets>
  <functionGroups builtInGroupCount="18"/>
  <definedNames>
    <definedName name="_xlnm._FilterDatabase" localSheetId="1" hidden="1">wwNVChuc!$A$2:$BS$500</definedName>
    <definedName name="MemberList">Table22[Member]</definedName>
    <definedName name="PjNameList">Table22[Project]</definedName>
    <definedName name="ProcessList">Table22[Process]</definedName>
    <definedName name="StatusList">Data!$E$2:$E$6</definedName>
    <definedName name="TaskNameList">Table22[Task name]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2" l="1"/>
  <c r="H6" i="12" s="1"/>
  <c r="F5" i="12"/>
  <c r="F3" i="13"/>
  <c r="I3" i="12"/>
  <c r="F3" i="12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201" i="12"/>
  <c r="J202" i="12"/>
  <c r="J203" i="12"/>
  <c r="J204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218" i="12"/>
  <c r="J219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37" i="12"/>
  <c r="J238" i="12"/>
  <c r="J239" i="12"/>
  <c r="J240" i="12"/>
  <c r="J241" i="12"/>
  <c r="J242" i="12"/>
  <c r="J243" i="12"/>
  <c r="J244" i="12"/>
  <c r="J245" i="12"/>
  <c r="J246" i="12"/>
  <c r="J247" i="12"/>
  <c r="J248" i="12"/>
  <c r="J249" i="12"/>
  <c r="J250" i="12"/>
  <c r="J251" i="12"/>
  <c r="J252" i="12"/>
  <c r="J253" i="12"/>
  <c r="J254" i="12"/>
  <c r="J255" i="12"/>
  <c r="J256" i="12"/>
  <c r="J257" i="12"/>
  <c r="J258" i="12"/>
  <c r="J259" i="12"/>
  <c r="J260" i="12"/>
  <c r="J261" i="12"/>
  <c r="J262" i="12"/>
  <c r="J263" i="12"/>
  <c r="J264" i="12"/>
  <c r="J265" i="12"/>
  <c r="J266" i="12"/>
  <c r="J267" i="12"/>
  <c r="J268" i="12"/>
  <c r="J269" i="12"/>
  <c r="J270" i="12"/>
  <c r="J271" i="12"/>
  <c r="J272" i="12"/>
  <c r="J273" i="12"/>
  <c r="J274" i="12"/>
  <c r="J275" i="12"/>
  <c r="J276" i="12"/>
  <c r="J277" i="12"/>
  <c r="J278" i="12"/>
  <c r="J279" i="12"/>
  <c r="J280" i="12"/>
  <c r="J281" i="12"/>
  <c r="J282" i="12"/>
  <c r="J283" i="12"/>
  <c r="J284" i="12"/>
  <c r="J285" i="12"/>
  <c r="J286" i="12"/>
  <c r="J287" i="12"/>
  <c r="J288" i="12"/>
  <c r="J289" i="12"/>
  <c r="J290" i="12"/>
  <c r="J291" i="12"/>
  <c r="J292" i="12"/>
  <c r="J293" i="12"/>
  <c r="J294" i="12"/>
  <c r="J295" i="12"/>
  <c r="J296" i="12"/>
  <c r="J297" i="12"/>
  <c r="J298" i="12"/>
  <c r="J299" i="12"/>
  <c r="J300" i="12"/>
  <c r="J301" i="12"/>
  <c r="J302" i="12"/>
  <c r="J303" i="12"/>
  <c r="J304" i="12"/>
  <c r="J305" i="12"/>
  <c r="J306" i="12"/>
  <c r="J307" i="12"/>
  <c r="J308" i="12"/>
  <c r="J309" i="12"/>
  <c r="J310" i="12"/>
  <c r="J311" i="12"/>
  <c r="J312" i="12"/>
  <c r="J313" i="12"/>
  <c r="J314" i="12"/>
  <c r="J315" i="12"/>
  <c r="J316" i="12"/>
  <c r="J317" i="12"/>
  <c r="J318" i="12"/>
  <c r="J319" i="12"/>
  <c r="J320" i="12"/>
  <c r="J321" i="12"/>
  <c r="J322" i="12"/>
  <c r="J323" i="12"/>
  <c r="J324" i="12"/>
  <c r="J325" i="12"/>
  <c r="J326" i="12"/>
  <c r="J327" i="12"/>
  <c r="J328" i="12"/>
  <c r="J329" i="12"/>
  <c r="J330" i="12"/>
  <c r="J331" i="12"/>
  <c r="J332" i="12"/>
  <c r="J333" i="12"/>
  <c r="J334" i="12"/>
  <c r="J335" i="12"/>
  <c r="J336" i="12"/>
  <c r="J337" i="12"/>
  <c r="J338" i="12"/>
  <c r="J339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386" i="12"/>
  <c r="J387" i="12"/>
  <c r="J388" i="12"/>
  <c r="J389" i="12"/>
  <c r="J390" i="12"/>
  <c r="J391" i="12"/>
  <c r="J392" i="12"/>
  <c r="J393" i="12"/>
  <c r="J394" i="12"/>
  <c r="J395" i="12"/>
  <c r="J396" i="12"/>
  <c r="J397" i="12"/>
  <c r="J398" i="12"/>
  <c r="J399" i="12"/>
  <c r="J400" i="12"/>
  <c r="J401" i="12"/>
  <c r="J402" i="12"/>
  <c r="J403" i="12"/>
  <c r="J404" i="12"/>
  <c r="J405" i="12"/>
  <c r="J406" i="12"/>
  <c r="J407" i="12"/>
  <c r="J408" i="12"/>
  <c r="J409" i="12"/>
  <c r="J410" i="12"/>
  <c r="J411" i="12"/>
  <c r="J412" i="12"/>
  <c r="J413" i="12"/>
  <c r="J414" i="12"/>
  <c r="J415" i="12"/>
  <c r="J416" i="12"/>
  <c r="J417" i="12"/>
  <c r="J418" i="12"/>
  <c r="J419" i="12"/>
  <c r="J420" i="12"/>
  <c r="J421" i="12"/>
  <c r="J422" i="12"/>
  <c r="J423" i="12"/>
  <c r="J424" i="12"/>
  <c r="J425" i="12"/>
  <c r="J426" i="12"/>
  <c r="J427" i="12"/>
  <c r="J428" i="12"/>
  <c r="J429" i="12"/>
  <c r="J430" i="12"/>
  <c r="J431" i="12"/>
  <c r="J432" i="12"/>
  <c r="J433" i="12"/>
  <c r="J434" i="12"/>
  <c r="J435" i="12"/>
  <c r="J436" i="12"/>
  <c r="J437" i="12"/>
  <c r="J438" i="12"/>
  <c r="J439" i="12"/>
  <c r="J440" i="12"/>
  <c r="J441" i="12"/>
  <c r="J442" i="12"/>
  <c r="J443" i="12"/>
  <c r="J444" i="12"/>
  <c r="J445" i="12"/>
  <c r="J446" i="12"/>
  <c r="J447" i="12"/>
  <c r="J448" i="12"/>
  <c r="J449" i="12"/>
  <c r="J450" i="12"/>
  <c r="J451" i="12"/>
  <c r="J452" i="12"/>
  <c r="J453" i="12"/>
  <c r="J454" i="12"/>
  <c r="J455" i="12"/>
  <c r="J456" i="12"/>
  <c r="J457" i="12"/>
  <c r="J458" i="12"/>
  <c r="J459" i="12"/>
  <c r="J460" i="12"/>
  <c r="J461" i="12"/>
  <c r="J462" i="12"/>
  <c r="J463" i="12"/>
  <c r="J464" i="12"/>
  <c r="J465" i="12"/>
  <c r="J466" i="12"/>
  <c r="J467" i="12"/>
  <c r="J468" i="12"/>
  <c r="J469" i="12"/>
  <c r="J470" i="12"/>
  <c r="J471" i="12"/>
  <c r="J472" i="12"/>
  <c r="J473" i="12"/>
  <c r="J474" i="12"/>
  <c r="J475" i="12"/>
  <c r="J476" i="12"/>
  <c r="J477" i="12"/>
  <c r="J478" i="12"/>
  <c r="J479" i="12"/>
  <c r="J480" i="12"/>
  <c r="J481" i="12"/>
  <c r="J482" i="12"/>
  <c r="J483" i="12"/>
  <c r="J484" i="12"/>
  <c r="J485" i="12"/>
  <c r="J486" i="12"/>
  <c r="J487" i="12"/>
  <c r="J488" i="12"/>
  <c r="J489" i="12"/>
  <c r="J490" i="12"/>
  <c r="J491" i="12"/>
  <c r="J492" i="12"/>
  <c r="J493" i="12"/>
  <c r="J494" i="12"/>
  <c r="J495" i="12"/>
  <c r="J496" i="12"/>
  <c r="J497" i="12"/>
  <c r="J498" i="12"/>
  <c r="J499" i="12"/>
  <c r="J500" i="12"/>
  <c r="J3" i="12"/>
  <c r="G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201" i="12"/>
  <c r="I202" i="12"/>
  <c r="I203" i="12"/>
  <c r="I204" i="12"/>
  <c r="I205" i="12"/>
  <c r="I206" i="12"/>
  <c r="I207" i="12"/>
  <c r="I208" i="12"/>
  <c r="I209" i="12"/>
  <c r="I210" i="12"/>
  <c r="I211" i="12"/>
  <c r="I212" i="12"/>
  <c r="I213" i="12"/>
  <c r="I214" i="12"/>
  <c r="I215" i="12"/>
  <c r="I216" i="12"/>
  <c r="I217" i="12"/>
  <c r="I218" i="12"/>
  <c r="I219" i="12"/>
  <c r="I220" i="12"/>
  <c r="I221" i="12"/>
  <c r="I222" i="12"/>
  <c r="I223" i="12"/>
  <c r="I224" i="12"/>
  <c r="I225" i="12"/>
  <c r="I226" i="12"/>
  <c r="I227" i="12"/>
  <c r="I228" i="12"/>
  <c r="I229" i="12"/>
  <c r="I230" i="12"/>
  <c r="I231" i="12"/>
  <c r="I232" i="12"/>
  <c r="I233" i="12"/>
  <c r="I234" i="12"/>
  <c r="I235" i="12"/>
  <c r="I236" i="12"/>
  <c r="I237" i="12"/>
  <c r="I238" i="12"/>
  <c r="I239" i="12"/>
  <c r="I240" i="12"/>
  <c r="I241" i="12"/>
  <c r="I242" i="12"/>
  <c r="I243" i="12"/>
  <c r="I244" i="12"/>
  <c r="I245" i="12"/>
  <c r="I246" i="12"/>
  <c r="I247" i="12"/>
  <c r="I248" i="12"/>
  <c r="I249" i="12"/>
  <c r="I250" i="12"/>
  <c r="I251" i="12"/>
  <c r="I252" i="12"/>
  <c r="I253" i="12"/>
  <c r="I254" i="12"/>
  <c r="I255" i="12"/>
  <c r="I256" i="12"/>
  <c r="I257" i="12"/>
  <c r="I258" i="12"/>
  <c r="I259" i="12"/>
  <c r="I260" i="12"/>
  <c r="I261" i="12"/>
  <c r="I262" i="12"/>
  <c r="I263" i="12"/>
  <c r="I264" i="12"/>
  <c r="I265" i="12"/>
  <c r="I266" i="12"/>
  <c r="I267" i="12"/>
  <c r="I268" i="12"/>
  <c r="I269" i="12"/>
  <c r="I270" i="12"/>
  <c r="I271" i="12"/>
  <c r="I272" i="12"/>
  <c r="I273" i="12"/>
  <c r="I274" i="12"/>
  <c r="I275" i="12"/>
  <c r="I276" i="12"/>
  <c r="I277" i="12"/>
  <c r="I278" i="12"/>
  <c r="I279" i="12"/>
  <c r="I280" i="12"/>
  <c r="I281" i="12"/>
  <c r="I282" i="12"/>
  <c r="I283" i="12"/>
  <c r="I284" i="12"/>
  <c r="I285" i="12"/>
  <c r="I286" i="12"/>
  <c r="I287" i="12"/>
  <c r="I288" i="12"/>
  <c r="I289" i="12"/>
  <c r="I290" i="12"/>
  <c r="I291" i="12"/>
  <c r="I292" i="12"/>
  <c r="I293" i="12"/>
  <c r="I294" i="12"/>
  <c r="I295" i="12"/>
  <c r="I296" i="12"/>
  <c r="I297" i="12"/>
  <c r="I298" i="12"/>
  <c r="I299" i="12"/>
  <c r="I300" i="12"/>
  <c r="I301" i="12"/>
  <c r="I302" i="12"/>
  <c r="I303" i="12"/>
  <c r="I304" i="12"/>
  <c r="I305" i="12"/>
  <c r="I306" i="12"/>
  <c r="I307" i="12"/>
  <c r="I308" i="12"/>
  <c r="I309" i="12"/>
  <c r="I310" i="12"/>
  <c r="I311" i="12"/>
  <c r="I312" i="12"/>
  <c r="I313" i="12"/>
  <c r="I314" i="12"/>
  <c r="I315" i="12"/>
  <c r="I316" i="12"/>
  <c r="I317" i="12"/>
  <c r="I318" i="12"/>
  <c r="I319" i="12"/>
  <c r="I320" i="12"/>
  <c r="I321" i="12"/>
  <c r="I322" i="12"/>
  <c r="I323" i="12"/>
  <c r="I324" i="12"/>
  <c r="I325" i="12"/>
  <c r="I326" i="12"/>
  <c r="I327" i="12"/>
  <c r="I328" i="12"/>
  <c r="I329" i="12"/>
  <c r="I330" i="12"/>
  <c r="I331" i="12"/>
  <c r="I332" i="12"/>
  <c r="I333" i="12"/>
  <c r="I334" i="12"/>
  <c r="I335" i="12"/>
  <c r="I336" i="12"/>
  <c r="I337" i="12"/>
  <c r="I338" i="12"/>
  <c r="I339" i="12"/>
  <c r="I340" i="12"/>
  <c r="I341" i="12"/>
  <c r="I342" i="12"/>
  <c r="I343" i="12"/>
  <c r="I344" i="12"/>
  <c r="I345" i="12"/>
  <c r="I346" i="12"/>
  <c r="I347" i="12"/>
  <c r="I348" i="12"/>
  <c r="I349" i="12"/>
  <c r="I350" i="12"/>
  <c r="I351" i="12"/>
  <c r="I352" i="12"/>
  <c r="I353" i="12"/>
  <c r="I354" i="12"/>
  <c r="I355" i="12"/>
  <c r="I356" i="12"/>
  <c r="I357" i="12"/>
  <c r="I358" i="12"/>
  <c r="I359" i="12"/>
  <c r="I360" i="12"/>
  <c r="I361" i="12"/>
  <c r="I362" i="12"/>
  <c r="I363" i="12"/>
  <c r="I364" i="12"/>
  <c r="I365" i="12"/>
  <c r="I366" i="12"/>
  <c r="I367" i="12"/>
  <c r="I368" i="12"/>
  <c r="I369" i="12"/>
  <c r="I370" i="12"/>
  <c r="I371" i="12"/>
  <c r="I372" i="12"/>
  <c r="I373" i="12"/>
  <c r="I374" i="12"/>
  <c r="I375" i="12"/>
  <c r="I376" i="12"/>
  <c r="I377" i="12"/>
  <c r="I378" i="12"/>
  <c r="I379" i="12"/>
  <c r="I380" i="12"/>
  <c r="I381" i="12"/>
  <c r="I382" i="12"/>
  <c r="I383" i="12"/>
  <c r="I384" i="12"/>
  <c r="I385" i="12"/>
  <c r="I386" i="12"/>
  <c r="I387" i="12"/>
  <c r="I388" i="12"/>
  <c r="I389" i="12"/>
  <c r="I390" i="12"/>
  <c r="I391" i="12"/>
  <c r="I392" i="12"/>
  <c r="I393" i="12"/>
  <c r="I394" i="12"/>
  <c r="I395" i="12"/>
  <c r="I396" i="12"/>
  <c r="I397" i="12"/>
  <c r="I398" i="12"/>
  <c r="I399" i="12"/>
  <c r="I400" i="12"/>
  <c r="I401" i="12"/>
  <c r="I402" i="12"/>
  <c r="I403" i="12"/>
  <c r="I404" i="12"/>
  <c r="I405" i="12"/>
  <c r="I406" i="12"/>
  <c r="I407" i="12"/>
  <c r="I408" i="12"/>
  <c r="I409" i="12"/>
  <c r="I410" i="12"/>
  <c r="I411" i="12"/>
  <c r="I412" i="12"/>
  <c r="I413" i="12"/>
  <c r="I414" i="12"/>
  <c r="I415" i="12"/>
  <c r="I416" i="12"/>
  <c r="I417" i="12"/>
  <c r="I418" i="12"/>
  <c r="I419" i="12"/>
  <c r="I420" i="12"/>
  <c r="I421" i="12"/>
  <c r="I422" i="12"/>
  <c r="I423" i="12"/>
  <c r="I424" i="12"/>
  <c r="I425" i="12"/>
  <c r="I426" i="12"/>
  <c r="I427" i="12"/>
  <c r="I428" i="12"/>
  <c r="I429" i="12"/>
  <c r="I430" i="12"/>
  <c r="I431" i="12"/>
  <c r="I432" i="12"/>
  <c r="I433" i="12"/>
  <c r="I434" i="12"/>
  <c r="I435" i="12"/>
  <c r="I436" i="12"/>
  <c r="I437" i="12"/>
  <c r="I438" i="12"/>
  <c r="I439" i="12"/>
  <c r="I440" i="12"/>
  <c r="I441" i="12"/>
  <c r="I442" i="12"/>
  <c r="I443" i="12"/>
  <c r="I444" i="12"/>
  <c r="I445" i="12"/>
  <c r="I446" i="12"/>
  <c r="I447" i="12"/>
  <c r="I448" i="12"/>
  <c r="I449" i="12"/>
  <c r="I450" i="12"/>
  <c r="I451" i="12"/>
  <c r="I452" i="12"/>
  <c r="I453" i="12"/>
  <c r="I454" i="12"/>
  <c r="I455" i="12"/>
  <c r="I456" i="12"/>
  <c r="I457" i="12"/>
  <c r="I458" i="12"/>
  <c r="I459" i="12"/>
  <c r="I460" i="12"/>
  <c r="I461" i="12"/>
  <c r="I462" i="12"/>
  <c r="I463" i="12"/>
  <c r="I464" i="12"/>
  <c r="I465" i="12"/>
  <c r="I466" i="12"/>
  <c r="I467" i="12"/>
  <c r="I468" i="12"/>
  <c r="I469" i="12"/>
  <c r="I470" i="12"/>
  <c r="I471" i="12"/>
  <c r="I472" i="12"/>
  <c r="I473" i="12"/>
  <c r="I474" i="12"/>
  <c r="I475" i="12"/>
  <c r="I476" i="12"/>
  <c r="I477" i="12"/>
  <c r="I478" i="12"/>
  <c r="I479" i="12"/>
  <c r="I480" i="12"/>
  <c r="I481" i="12"/>
  <c r="I482" i="12"/>
  <c r="I483" i="12"/>
  <c r="I484" i="12"/>
  <c r="I485" i="12"/>
  <c r="I486" i="12"/>
  <c r="I487" i="12"/>
  <c r="I488" i="12"/>
  <c r="I489" i="12"/>
  <c r="I490" i="12"/>
  <c r="I491" i="12"/>
  <c r="I492" i="12"/>
  <c r="I493" i="12"/>
  <c r="I494" i="12"/>
  <c r="I495" i="12"/>
  <c r="I496" i="12"/>
  <c r="I497" i="12"/>
  <c r="I498" i="12"/>
  <c r="I499" i="12"/>
  <c r="I500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2" i="12"/>
  <c r="G123" i="12"/>
  <c r="G124" i="12"/>
  <c r="G125" i="12"/>
  <c r="G126" i="12"/>
  <c r="G127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G155" i="12"/>
  <c r="G156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1" i="12"/>
  <c r="G182" i="12"/>
  <c r="G183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8" i="12"/>
  <c r="G199" i="12"/>
  <c r="G200" i="12"/>
  <c r="G201" i="12"/>
  <c r="G202" i="12"/>
  <c r="G203" i="12"/>
  <c r="G204" i="12"/>
  <c r="G205" i="12"/>
  <c r="G206" i="12"/>
  <c r="G207" i="12"/>
  <c r="G208" i="12"/>
  <c r="G209" i="12"/>
  <c r="G210" i="12"/>
  <c r="G211" i="12"/>
  <c r="G212" i="12"/>
  <c r="G213" i="12"/>
  <c r="G214" i="12"/>
  <c r="G215" i="12"/>
  <c r="G216" i="12"/>
  <c r="G217" i="12"/>
  <c r="G218" i="12"/>
  <c r="G219" i="12"/>
  <c r="G220" i="12"/>
  <c r="G221" i="12"/>
  <c r="G222" i="12"/>
  <c r="G223" i="12"/>
  <c r="G224" i="12"/>
  <c r="G225" i="12"/>
  <c r="G226" i="12"/>
  <c r="G227" i="12"/>
  <c r="G228" i="12"/>
  <c r="G229" i="12"/>
  <c r="G230" i="12"/>
  <c r="G231" i="12"/>
  <c r="G232" i="12"/>
  <c r="G233" i="12"/>
  <c r="G234" i="12"/>
  <c r="G235" i="12"/>
  <c r="G236" i="12"/>
  <c r="G237" i="12"/>
  <c r="G238" i="12"/>
  <c r="G239" i="12"/>
  <c r="G240" i="12"/>
  <c r="G241" i="12"/>
  <c r="G242" i="12"/>
  <c r="G243" i="12"/>
  <c r="G244" i="12"/>
  <c r="G245" i="12"/>
  <c r="G246" i="12"/>
  <c r="G247" i="12"/>
  <c r="G248" i="12"/>
  <c r="G249" i="12"/>
  <c r="G250" i="12"/>
  <c r="G251" i="12"/>
  <c r="G252" i="12"/>
  <c r="G253" i="12"/>
  <c r="G254" i="12"/>
  <c r="G255" i="12"/>
  <c r="G256" i="12"/>
  <c r="G257" i="12"/>
  <c r="G258" i="12"/>
  <c r="G259" i="12"/>
  <c r="G260" i="12"/>
  <c r="G261" i="12"/>
  <c r="G262" i="12"/>
  <c r="G263" i="12"/>
  <c r="G264" i="12"/>
  <c r="G265" i="12"/>
  <c r="G266" i="12"/>
  <c r="G267" i="12"/>
  <c r="G268" i="12"/>
  <c r="G269" i="12"/>
  <c r="G270" i="12"/>
  <c r="G271" i="12"/>
  <c r="G272" i="12"/>
  <c r="G273" i="12"/>
  <c r="G274" i="12"/>
  <c r="G275" i="12"/>
  <c r="G276" i="12"/>
  <c r="G277" i="12"/>
  <c r="G278" i="12"/>
  <c r="G279" i="12"/>
  <c r="G280" i="12"/>
  <c r="G281" i="12"/>
  <c r="G282" i="12"/>
  <c r="G283" i="12"/>
  <c r="G284" i="12"/>
  <c r="G285" i="12"/>
  <c r="G286" i="12"/>
  <c r="G287" i="12"/>
  <c r="G288" i="12"/>
  <c r="G289" i="12"/>
  <c r="G290" i="12"/>
  <c r="G291" i="12"/>
  <c r="G292" i="12"/>
  <c r="G293" i="12"/>
  <c r="G294" i="12"/>
  <c r="G295" i="12"/>
  <c r="G296" i="12"/>
  <c r="G297" i="12"/>
  <c r="G298" i="12"/>
  <c r="G299" i="12"/>
  <c r="G300" i="12"/>
  <c r="G301" i="12"/>
  <c r="G302" i="12"/>
  <c r="G303" i="12"/>
  <c r="G304" i="12"/>
  <c r="G305" i="12"/>
  <c r="G306" i="12"/>
  <c r="G307" i="12"/>
  <c r="G308" i="12"/>
  <c r="G309" i="12"/>
  <c r="G310" i="12"/>
  <c r="G311" i="12"/>
  <c r="G312" i="12"/>
  <c r="G313" i="12"/>
  <c r="G314" i="12"/>
  <c r="G315" i="12"/>
  <c r="G316" i="12"/>
  <c r="G317" i="12"/>
  <c r="G318" i="12"/>
  <c r="G319" i="12"/>
  <c r="G320" i="12"/>
  <c r="G321" i="12"/>
  <c r="G322" i="12"/>
  <c r="G323" i="12"/>
  <c r="G324" i="12"/>
  <c r="G325" i="12"/>
  <c r="G326" i="12"/>
  <c r="G327" i="12"/>
  <c r="G328" i="12"/>
  <c r="G329" i="12"/>
  <c r="G330" i="12"/>
  <c r="G331" i="12"/>
  <c r="G332" i="12"/>
  <c r="G333" i="12"/>
  <c r="G334" i="12"/>
  <c r="G335" i="12"/>
  <c r="G336" i="12"/>
  <c r="G337" i="12"/>
  <c r="G338" i="12"/>
  <c r="G339" i="12"/>
  <c r="G340" i="12"/>
  <c r="G341" i="12"/>
  <c r="G342" i="12"/>
  <c r="G343" i="12"/>
  <c r="G344" i="12"/>
  <c r="G345" i="12"/>
  <c r="G346" i="12"/>
  <c r="G347" i="12"/>
  <c r="G348" i="12"/>
  <c r="G349" i="12"/>
  <c r="G350" i="12"/>
  <c r="G351" i="12"/>
  <c r="G352" i="12"/>
  <c r="G353" i="12"/>
  <c r="G354" i="12"/>
  <c r="G355" i="12"/>
  <c r="G356" i="12"/>
  <c r="G357" i="12"/>
  <c r="G358" i="12"/>
  <c r="G359" i="12"/>
  <c r="G360" i="12"/>
  <c r="G361" i="12"/>
  <c r="G362" i="12"/>
  <c r="G363" i="12"/>
  <c r="G364" i="12"/>
  <c r="G365" i="12"/>
  <c r="G366" i="12"/>
  <c r="G367" i="12"/>
  <c r="G368" i="12"/>
  <c r="G369" i="12"/>
  <c r="G370" i="12"/>
  <c r="G371" i="12"/>
  <c r="G372" i="12"/>
  <c r="G373" i="12"/>
  <c r="G374" i="12"/>
  <c r="G375" i="12"/>
  <c r="G376" i="12"/>
  <c r="G377" i="12"/>
  <c r="G378" i="12"/>
  <c r="G379" i="12"/>
  <c r="G380" i="12"/>
  <c r="G381" i="12"/>
  <c r="G382" i="12"/>
  <c r="G383" i="12"/>
  <c r="G384" i="12"/>
  <c r="G385" i="12"/>
  <c r="G386" i="12"/>
  <c r="G387" i="12"/>
  <c r="G388" i="12"/>
  <c r="G389" i="12"/>
  <c r="G390" i="12"/>
  <c r="G391" i="12"/>
  <c r="G392" i="12"/>
  <c r="G393" i="12"/>
  <c r="G394" i="12"/>
  <c r="G395" i="12"/>
  <c r="G396" i="12"/>
  <c r="G397" i="12"/>
  <c r="G398" i="12"/>
  <c r="G399" i="12"/>
  <c r="G400" i="12"/>
  <c r="G401" i="12"/>
  <c r="G402" i="12"/>
  <c r="G403" i="12"/>
  <c r="G404" i="12"/>
  <c r="G405" i="12"/>
  <c r="G406" i="12"/>
  <c r="G407" i="12"/>
  <c r="G408" i="12"/>
  <c r="G409" i="12"/>
  <c r="G410" i="12"/>
  <c r="G411" i="12"/>
  <c r="G412" i="12"/>
  <c r="G413" i="12"/>
  <c r="G414" i="12"/>
  <c r="G415" i="12"/>
  <c r="G416" i="12"/>
  <c r="G417" i="12"/>
  <c r="G418" i="12"/>
  <c r="G419" i="12"/>
  <c r="G420" i="12"/>
  <c r="G421" i="12"/>
  <c r="G422" i="12"/>
  <c r="G423" i="12"/>
  <c r="G424" i="12"/>
  <c r="G425" i="12"/>
  <c r="G426" i="12"/>
  <c r="G427" i="12"/>
  <c r="G428" i="12"/>
  <c r="G429" i="12"/>
  <c r="G430" i="12"/>
  <c r="G431" i="12"/>
  <c r="G432" i="12"/>
  <c r="G433" i="12"/>
  <c r="G434" i="12"/>
  <c r="G435" i="12"/>
  <c r="G436" i="12"/>
  <c r="G437" i="12"/>
  <c r="G438" i="12"/>
  <c r="G439" i="12"/>
  <c r="G440" i="12"/>
  <c r="G441" i="12"/>
  <c r="G442" i="12"/>
  <c r="G443" i="12"/>
  <c r="G444" i="12"/>
  <c r="G445" i="12"/>
  <c r="G446" i="12"/>
  <c r="G447" i="12"/>
  <c r="G448" i="12"/>
  <c r="G449" i="12"/>
  <c r="G450" i="12"/>
  <c r="G451" i="12"/>
  <c r="G452" i="12"/>
  <c r="G453" i="12"/>
  <c r="G454" i="12"/>
  <c r="G455" i="12"/>
  <c r="G456" i="12"/>
  <c r="G457" i="12"/>
  <c r="G458" i="12"/>
  <c r="G459" i="12"/>
  <c r="G460" i="12"/>
  <c r="G461" i="12"/>
  <c r="G462" i="12"/>
  <c r="G463" i="12"/>
  <c r="G464" i="12"/>
  <c r="G465" i="12"/>
  <c r="G466" i="12"/>
  <c r="G467" i="12"/>
  <c r="G468" i="12"/>
  <c r="G469" i="12"/>
  <c r="G470" i="12"/>
  <c r="G471" i="12"/>
  <c r="G472" i="12"/>
  <c r="G473" i="12"/>
  <c r="G474" i="12"/>
  <c r="G475" i="12"/>
  <c r="G476" i="12"/>
  <c r="G477" i="12"/>
  <c r="G478" i="12"/>
  <c r="G479" i="12"/>
  <c r="G480" i="12"/>
  <c r="G481" i="12"/>
  <c r="G482" i="12"/>
  <c r="G483" i="12"/>
  <c r="G484" i="12"/>
  <c r="G485" i="12"/>
  <c r="G486" i="12"/>
  <c r="G487" i="12"/>
  <c r="G488" i="12"/>
  <c r="G489" i="12"/>
  <c r="G490" i="12"/>
  <c r="G491" i="12"/>
  <c r="G492" i="12"/>
  <c r="G493" i="12"/>
  <c r="G494" i="12"/>
  <c r="G495" i="12"/>
  <c r="G496" i="12"/>
  <c r="G497" i="12"/>
  <c r="G498" i="12"/>
  <c r="G499" i="12"/>
  <c r="G500" i="12"/>
  <c r="F4" i="12"/>
  <c r="H4" i="12" s="1"/>
  <c r="F7" i="12"/>
  <c r="H7" i="12" s="1"/>
  <c r="F8" i="12"/>
  <c r="F9" i="12"/>
  <c r="F10" i="12"/>
  <c r="H10" i="12" s="1"/>
  <c r="F11" i="12"/>
  <c r="H11" i="12" s="1"/>
  <c r="F12" i="12"/>
  <c r="F13" i="12"/>
  <c r="H13" i="12" s="1"/>
  <c r="F14" i="12"/>
  <c r="F15" i="12"/>
  <c r="H15" i="12" s="1"/>
  <c r="F16" i="12"/>
  <c r="F17" i="12"/>
  <c r="F18" i="12"/>
  <c r="F19" i="12"/>
  <c r="H19" i="12" s="1"/>
  <c r="F20" i="12"/>
  <c r="H20" i="12" s="1"/>
  <c r="F21" i="12"/>
  <c r="H21" i="12" s="1"/>
  <c r="F22" i="12"/>
  <c r="H22" i="12" s="1"/>
  <c r="F23" i="12"/>
  <c r="H23" i="12" s="1"/>
  <c r="F24" i="12"/>
  <c r="F25" i="12"/>
  <c r="H25" i="12" s="1"/>
  <c r="F26" i="12"/>
  <c r="H26" i="12" s="1"/>
  <c r="F27" i="12"/>
  <c r="H27" i="12" s="1"/>
  <c r="F28" i="12"/>
  <c r="H28" i="12" s="1"/>
  <c r="F29" i="12"/>
  <c r="F30" i="12"/>
  <c r="H30" i="12" s="1"/>
  <c r="F31" i="12"/>
  <c r="H31" i="12" s="1"/>
  <c r="F32" i="12"/>
  <c r="H32" i="12" s="1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H114" i="12"/>
  <c r="F115" i="12"/>
  <c r="F116" i="12"/>
  <c r="F117" i="12"/>
  <c r="F118" i="12"/>
  <c r="F119" i="12"/>
  <c r="F120" i="12"/>
  <c r="F121" i="12"/>
  <c r="F122" i="12"/>
  <c r="H122" i="12"/>
  <c r="F123" i="12"/>
  <c r="F124" i="12"/>
  <c r="F125" i="12"/>
  <c r="F126" i="12"/>
  <c r="H126" i="12"/>
  <c r="F127" i="12"/>
  <c r="F128" i="12"/>
  <c r="F129" i="12"/>
  <c r="F130" i="12"/>
  <c r="H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H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H182" i="12"/>
  <c r="F183" i="12"/>
  <c r="F184" i="12"/>
  <c r="F185" i="12"/>
  <c r="F186" i="12"/>
  <c r="F187" i="12"/>
  <c r="F188" i="12"/>
  <c r="F189" i="12"/>
  <c r="F190" i="12"/>
  <c r="H190" i="12"/>
  <c r="F191" i="12"/>
  <c r="F192" i="12"/>
  <c r="F193" i="12"/>
  <c r="H193" i="12"/>
  <c r="F194" i="12"/>
  <c r="H194" i="12"/>
  <c r="F195" i="12"/>
  <c r="F196" i="12"/>
  <c r="F197" i="12"/>
  <c r="H197" i="12"/>
  <c r="F198" i="12"/>
  <c r="H198" i="12"/>
  <c r="F199" i="12"/>
  <c r="F200" i="12"/>
  <c r="F201" i="12"/>
  <c r="H201" i="12"/>
  <c r="F202" i="12"/>
  <c r="H202" i="12"/>
  <c r="F203" i="12"/>
  <c r="F204" i="12"/>
  <c r="F205" i="12"/>
  <c r="H205" i="12"/>
  <c r="F206" i="12"/>
  <c r="H206" i="12"/>
  <c r="F207" i="12"/>
  <c r="F208" i="12"/>
  <c r="F209" i="12"/>
  <c r="H209" i="12"/>
  <c r="F210" i="12"/>
  <c r="H210" i="12"/>
  <c r="F211" i="12"/>
  <c r="F212" i="12"/>
  <c r="F213" i="12"/>
  <c r="H213" i="12"/>
  <c r="F214" i="12"/>
  <c r="H214" i="12"/>
  <c r="F215" i="12"/>
  <c r="F216" i="12"/>
  <c r="F217" i="12"/>
  <c r="H217" i="12"/>
  <c r="F218" i="12"/>
  <c r="H218" i="12"/>
  <c r="F219" i="12"/>
  <c r="F220" i="12"/>
  <c r="F221" i="12"/>
  <c r="H221" i="12"/>
  <c r="F222" i="12"/>
  <c r="H222" i="12"/>
  <c r="F223" i="12"/>
  <c r="F224" i="12"/>
  <c r="F225" i="12"/>
  <c r="H225" i="12"/>
  <c r="F226" i="12"/>
  <c r="H226" i="12"/>
  <c r="F227" i="12"/>
  <c r="F228" i="12"/>
  <c r="F229" i="12"/>
  <c r="H229" i="12"/>
  <c r="F230" i="12"/>
  <c r="H230" i="12"/>
  <c r="F231" i="12"/>
  <c r="F232" i="12"/>
  <c r="F233" i="12"/>
  <c r="H233" i="12"/>
  <c r="F234" i="12"/>
  <c r="H234" i="12"/>
  <c r="F235" i="12"/>
  <c r="F236" i="12"/>
  <c r="F237" i="12"/>
  <c r="H237" i="12"/>
  <c r="F238" i="12"/>
  <c r="H238" i="12"/>
  <c r="F239" i="12"/>
  <c r="F240" i="12"/>
  <c r="F241" i="12"/>
  <c r="H241" i="12"/>
  <c r="F242" i="12"/>
  <c r="H242" i="12"/>
  <c r="F243" i="12"/>
  <c r="F244" i="12"/>
  <c r="F245" i="12"/>
  <c r="H245" i="12"/>
  <c r="F246" i="12"/>
  <c r="H246" i="12"/>
  <c r="F247" i="12"/>
  <c r="F248" i="12"/>
  <c r="F249" i="12"/>
  <c r="H249" i="12"/>
  <c r="F250" i="12"/>
  <c r="H250" i="12"/>
  <c r="F251" i="12"/>
  <c r="F252" i="12"/>
  <c r="H252" i="12"/>
  <c r="F253" i="12"/>
  <c r="H253" i="12"/>
  <c r="F254" i="12"/>
  <c r="H254" i="12"/>
  <c r="F255" i="12"/>
  <c r="H255" i="12"/>
  <c r="F256" i="12"/>
  <c r="H256" i="12"/>
  <c r="F257" i="12"/>
  <c r="H257" i="12"/>
  <c r="F258" i="12"/>
  <c r="H258" i="12"/>
  <c r="F259" i="12"/>
  <c r="H259" i="12"/>
  <c r="F260" i="12"/>
  <c r="H260" i="12"/>
  <c r="F261" i="12"/>
  <c r="H261" i="12"/>
  <c r="F262" i="12"/>
  <c r="H262" i="12"/>
  <c r="F263" i="12"/>
  <c r="H263" i="12"/>
  <c r="F264" i="12"/>
  <c r="H264" i="12"/>
  <c r="F265" i="12"/>
  <c r="H265" i="12"/>
  <c r="F266" i="12"/>
  <c r="H266" i="12"/>
  <c r="F267" i="12"/>
  <c r="H267" i="12"/>
  <c r="F268" i="12"/>
  <c r="H268" i="12"/>
  <c r="F269" i="12"/>
  <c r="H269" i="12"/>
  <c r="F270" i="12"/>
  <c r="H270" i="12"/>
  <c r="F271" i="12"/>
  <c r="H271" i="12"/>
  <c r="F272" i="12"/>
  <c r="H272" i="12"/>
  <c r="F273" i="12"/>
  <c r="H273" i="12"/>
  <c r="F274" i="12"/>
  <c r="H274" i="12"/>
  <c r="F275" i="12"/>
  <c r="H275" i="12"/>
  <c r="F276" i="12"/>
  <c r="H276" i="12"/>
  <c r="F277" i="12"/>
  <c r="H277" i="12"/>
  <c r="F278" i="12"/>
  <c r="H278" i="12"/>
  <c r="F279" i="12"/>
  <c r="H279" i="12"/>
  <c r="F280" i="12"/>
  <c r="H280" i="12"/>
  <c r="F281" i="12"/>
  <c r="H281" i="12"/>
  <c r="F282" i="12"/>
  <c r="H282" i="12"/>
  <c r="F283" i="12"/>
  <c r="H283" i="12"/>
  <c r="F284" i="12"/>
  <c r="H284" i="12"/>
  <c r="F285" i="12"/>
  <c r="H285" i="12"/>
  <c r="F286" i="12"/>
  <c r="H286" i="12"/>
  <c r="F287" i="12"/>
  <c r="H287" i="12"/>
  <c r="F288" i="12"/>
  <c r="H288" i="12"/>
  <c r="F289" i="12"/>
  <c r="H289" i="12"/>
  <c r="F290" i="12"/>
  <c r="H290" i="12"/>
  <c r="F291" i="12"/>
  <c r="H291" i="12"/>
  <c r="F292" i="12"/>
  <c r="H292" i="12"/>
  <c r="F293" i="12"/>
  <c r="H293" i="12"/>
  <c r="F294" i="12"/>
  <c r="H294" i="12"/>
  <c r="F295" i="12"/>
  <c r="H295" i="12"/>
  <c r="F296" i="12"/>
  <c r="H296" i="12"/>
  <c r="F297" i="12"/>
  <c r="H297" i="12"/>
  <c r="F298" i="12"/>
  <c r="H298" i="12"/>
  <c r="F299" i="12"/>
  <c r="H299" i="12"/>
  <c r="F300" i="12"/>
  <c r="H300" i="12"/>
  <c r="F301" i="12"/>
  <c r="H301" i="12"/>
  <c r="F302" i="12"/>
  <c r="H302" i="12"/>
  <c r="F303" i="12"/>
  <c r="H303" i="12"/>
  <c r="F304" i="12"/>
  <c r="H304" i="12"/>
  <c r="F305" i="12"/>
  <c r="H305" i="12"/>
  <c r="F306" i="12"/>
  <c r="H306" i="12"/>
  <c r="F307" i="12"/>
  <c r="H307" i="12"/>
  <c r="F308" i="12"/>
  <c r="H308" i="12"/>
  <c r="F309" i="12"/>
  <c r="H309" i="12"/>
  <c r="F310" i="12"/>
  <c r="H310" i="12"/>
  <c r="F311" i="12"/>
  <c r="H311" i="12"/>
  <c r="F312" i="12"/>
  <c r="H312" i="12"/>
  <c r="F313" i="12"/>
  <c r="H313" i="12"/>
  <c r="F314" i="12"/>
  <c r="H314" i="12"/>
  <c r="F315" i="12"/>
  <c r="H315" i="12"/>
  <c r="F316" i="12"/>
  <c r="H316" i="12"/>
  <c r="F317" i="12"/>
  <c r="H317" i="12"/>
  <c r="F318" i="12"/>
  <c r="H318" i="12"/>
  <c r="F319" i="12"/>
  <c r="H319" i="12"/>
  <c r="F320" i="12"/>
  <c r="H320" i="12"/>
  <c r="F321" i="12"/>
  <c r="H321" i="12"/>
  <c r="F322" i="12"/>
  <c r="H322" i="12"/>
  <c r="F323" i="12"/>
  <c r="H323" i="12"/>
  <c r="F324" i="12"/>
  <c r="H324" i="12"/>
  <c r="F325" i="12"/>
  <c r="H325" i="12"/>
  <c r="F326" i="12"/>
  <c r="H326" i="12"/>
  <c r="F327" i="12"/>
  <c r="H327" i="12"/>
  <c r="F328" i="12"/>
  <c r="H328" i="12"/>
  <c r="F329" i="12"/>
  <c r="H329" i="12"/>
  <c r="F330" i="12"/>
  <c r="H330" i="12"/>
  <c r="F331" i="12"/>
  <c r="H331" i="12"/>
  <c r="F332" i="12"/>
  <c r="H332" i="12"/>
  <c r="F333" i="12"/>
  <c r="H333" i="12"/>
  <c r="F334" i="12"/>
  <c r="H334" i="12"/>
  <c r="F335" i="12"/>
  <c r="H335" i="12"/>
  <c r="F336" i="12"/>
  <c r="H336" i="12"/>
  <c r="F337" i="12"/>
  <c r="H337" i="12"/>
  <c r="F338" i="12"/>
  <c r="H338" i="12"/>
  <c r="F339" i="12"/>
  <c r="H339" i="12"/>
  <c r="F340" i="12"/>
  <c r="H340" i="12"/>
  <c r="F341" i="12"/>
  <c r="H341" i="12"/>
  <c r="F342" i="12"/>
  <c r="H342" i="12"/>
  <c r="F343" i="12"/>
  <c r="H343" i="12"/>
  <c r="F344" i="12"/>
  <c r="H344" i="12"/>
  <c r="F345" i="12"/>
  <c r="H345" i="12"/>
  <c r="F346" i="12"/>
  <c r="H346" i="12"/>
  <c r="F347" i="12"/>
  <c r="H347" i="12"/>
  <c r="F348" i="12"/>
  <c r="H348" i="12"/>
  <c r="F349" i="12"/>
  <c r="H349" i="12"/>
  <c r="F350" i="12"/>
  <c r="H350" i="12"/>
  <c r="F351" i="12"/>
  <c r="H351" i="12"/>
  <c r="F352" i="12"/>
  <c r="H352" i="12"/>
  <c r="F353" i="12"/>
  <c r="H353" i="12"/>
  <c r="F354" i="12"/>
  <c r="H354" i="12"/>
  <c r="F355" i="12"/>
  <c r="H355" i="12"/>
  <c r="F356" i="12"/>
  <c r="H356" i="12"/>
  <c r="F357" i="12"/>
  <c r="H357" i="12"/>
  <c r="F358" i="12"/>
  <c r="H358" i="12"/>
  <c r="F359" i="12"/>
  <c r="H359" i="12"/>
  <c r="F360" i="12"/>
  <c r="H360" i="12"/>
  <c r="F361" i="12"/>
  <c r="H361" i="12"/>
  <c r="F362" i="12"/>
  <c r="H362" i="12"/>
  <c r="F363" i="12"/>
  <c r="H363" i="12"/>
  <c r="F364" i="12"/>
  <c r="H364" i="12"/>
  <c r="F365" i="12"/>
  <c r="H365" i="12"/>
  <c r="F366" i="12"/>
  <c r="H366" i="12"/>
  <c r="F367" i="12"/>
  <c r="H367" i="12"/>
  <c r="F368" i="12"/>
  <c r="H368" i="12"/>
  <c r="F369" i="12"/>
  <c r="H369" i="12"/>
  <c r="F370" i="12"/>
  <c r="H370" i="12"/>
  <c r="F371" i="12"/>
  <c r="H371" i="12"/>
  <c r="F372" i="12"/>
  <c r="H372" i="12"/>
  <c r="F373" i="12"/>
  <c r="H373" i="12"/>
  <c r="F374" i="12"/>
  <c r="H374" i="12"/>
  <c r="F375" i="12"/>
  <c r="H375" i="12"/>
  <c r="F376" i="12"/>
  <c r="H376" i="12"/>
  <c r="F377" i="12"/>
  <c r="H377" i="12"/>
  <c r="F378" i="12"/>
  <c r="H378" i="12"/>
  <c r="F379" i="12"/>
  <c r="H379" i="12"/>
  <c r="F380" i="12"/>
  <c r="H380" i="12"/>
  <c r="F381" i="12"/>
  <c r="H381" i="12"/>
  <c r="F382" i="12"/>
  <c r="H382" i="12"/>
  <c r="F383" i="12"/>
  <c r="H383" i="12"/>
  <c r="F384" i="12"/>
  <c r="H384" i="12"/>
  <c r="F385" i="12"/>
  <c r="H385" i="12"/>
  <c r="F386" i="12"/>
  <c r="H386" i="12"/>
  <c r="F387" i="12"/>
  <c r="H387" i="12"/>
  <c r="F388" i="12"/>
  <c r="H388" i="12"/>
  <c r="F389" i="12"/>
  <c r="H389" i="12"/>
  <c r="F390" i="12"/>
  <c r="H390" i="12"/>
  <c r="F391" i="12"/>
  <c r="H391" i="12"/>
  <c r="F392" i="12"/>
  <c r="H392" i="12"/>
  <c r="F393" i="12"/>
  <c r="H393" i="12"/>
  <c r="F394" i="12"/>
  <c r="H394" i="12"/>
  <c r="F395" i="12"/>
  <c r="H395" i="12"/>
  <c r="F396" i="12"/>
  <c r="H396" i="12"/>
  <c r="F397" i="12"/>
  <c r="H397" i="12"/>
  <c r="F398" i="12"/>
  <c r="H398" i="12"/>
  <c r="F399" i="12"/>
  <c r="H399" i="12"/>
  <c r="F400" i="12"/>
  <c r="H400" i="12"/>
  <c r="F401" i="12"/>
  <c r="H401" i="12"/>
  <c r="F402" i="12"/>
  <c r="H402" i="12"/>
  <c r="F403" i="12"/>
  <c r="H403" i="12"/>
  <c r="F404" i="12"/>
  <c r="H404" i="12"/>
  <c r="F405" i="12"/>
  <c r="H405" i="12"/>
  <c r="F406" i="12"/>
  <c r="H406" i="12"/>
  <c r="F407" i="12"/>
  <c r="H407" i="12"/>
  <c r="F408" i="12"/>
  <c r="H408" i="12"/>
  <c r="F409" i="12"/>
  <c r="H409" i="12"/>
  <c r="F410" i="12"/>
  <c r="H410" i="12"/>
  <c r="F411" i="12"/>
  <c r="H411" i="12"/>
  <c r="F412" i="12"/>
  <c r="H412" i="12"/>
  <c r="F413" i="12"/>
  <c r="H413" i="12"/>
  <c r="F414" i="12"/>
  <c r="H414" i="12"/>
  <c r="F415" i="12"/>
  <c r="H415" i="12"/>
  <c r="F416" i="12"/>
  <c r="H416" i="12"/>
  <c r="F417" i="12"/>
  <c r="H417" i="12"/>
  <c r="F418" i="12"/>
  <c r="H418" i="12"/>
  <c r="F419" i="12"/>
  <c r="H419" i="12"/>
  <c r="F420" i="12"/>
  <c r="H420" i="12"/>
  <c r="F421" i="12"/>
  <c r="H421" i="12"/>
  <c r="F422" i="12"/>
  <c r="H422" i="12"/>
  <c r="F423" i="12"/>
  <c r="H423" i="12"/>
  <c r="F424" i="12"/>
  <c r="H424" i="12"/>
  <c r="F425" i="12"/>
  <c r="H425" i="12"/>
  <c r="F426" i="12"/>
  <c r="H426" i="12"/>
  <c r="F427" i="12"/>
  <c r="H427" i="12"/>
  <c r="F428" i="12"/>
  <c r="H428" i="12"/>
  <c r="F429" i="12"/>
  <c r="H429" i="12"/>
  <c r="F430" i="12"/>
  <c r="H430" i="12"/>
  <c r="F431" i="12"/>
  <c r="H431" i="12"/>
  <c r="F432" i="12"/>
  <c r="H432" i="12"/>
  <c r="F433" i="12"/>
  <c r="H433" i="12"/>
  <c r="F434" i="12"/>
  <c r="H434" i="12"/>
  <c r="F435" i="12"/>
  <c r="H435" i="12"/>
  <c r="F436" i="12"/>
  <c r="H436" i="12"/>
  <c r="F437" i="12"/>
  <c r="H437" i="12"/>
  <c r="F438" i="12"/>
  <c r="H438" i="12"/>
  <c r="F439" i="12"/>
  <c r="H439" i="12"/>
  <c r="F440" i="12"/>
  <c r="H440" i="12"/>
  <c r="F441" i="12"/>
  <c r="H441" i="12"/>
  <c r="F442" i="12"/>
  <c r="H442" i="12"/>
  <c r="F443" i="12"/>
  <c r="H443" i="12"/>
  <c r="F444" i="12"/>
  <c r="H444" i="12"/>
  <c r="F445" i="12"/>
  <c r="H445" i="12"/>
  <c r="F446" i="12"/>
  <c r="H446" i="12"/>
  <c r="F447" i="12"/>
  <c r="H447" i="12"/>
  <c r="F448" i="12"/>
  <c r="H448" i="12"/>
  <c r="F449" i="12"/>
  <c r="H449" i="12"/>
  <c r="F450" i="12"/>
  <c r="H450" i="12"/>
  <c r="F451" i="12"/>
  <c r="H451" i="12"/>
  <c r="F452" i="12"/>
  <c r="H452" i="12"/>
  <c r="F453" i="12"/>
  <c r="H453" i="12"/>
  <c r="F454" i="12"/>
  <c r="H454" i="12"/>
  <c r="F455" i="12"/>
  <c r="H455" i="12"/>
  <c r="F456" i="12"/>
  <c r="H456" i="12"/>
  <c r="F457" i="12"/>
  <c r="H457" i="12"/>
  <c r="F458" i="12"/>
  <c r="H458" i="12"/>
  <c r="F459" i="12"/>
  <c r="H459" i="12"/>
  <c r="F460" i="12"/>
  <c r="H460" i="12"/>
  <c r="F461" i="12"/>
  <c r="H461" i="12"/>
  <c r="F462" i="12"/>
  <c r="H462" i="12"/>
  <c r="F463" i="12"/>
  <c r="H463" i="12"/>
  <c r="F464" i="12"/>
  <c r="H464" i="12"/>
  <c r="F465" i="12"/>
  <c r="H465" i="12"/>
  <c r="F466" i="12"/>
  <c r="H466" i="12"/>
  <c r="F467" i="12"/>
  <c r="H467" i="12"/>
  <c r="F468" i="12"/>
  <c r="H468" i="12"/>
  <c r="F469" i="12"/>
  <c r="H469" i="12"/>
  <c r="F470" i="12"/>
  <c r="H470" i="12"/>
  <c r="F471" i="12"/>
  <c r="H471" i="12"/>
  <c r="F472" i="12"/>
  <c r="H472" i="12"/>
  <c r="F473" i="12"/>
  <c r="H473" i="12"/>
  <c r="F474" i="12"/>
  <c r="H474" i="12"/>
  <c r="F475" i="12"/>
  <c r="H475" i="12"/>
  <c r="F476" i="12"/>
  <c r="H476" i="12"/>
  <c r="F477" i="12"/>
  <c r="H477" i="12"/>
  <c r="F478" i="12"/>
  <c r="H478" i="12"/>
  <c r="F479" i="12"/>
  <c r="H479" i="12"/>
  <c r="F480" i="12"/>
  <c r="H480" i="12"/>
  <c r="F481" i="12"/>
  <c r="H481" i="12"/>
  <c r="F482" i="12"/>
  <c r="H482" i="12"/>
  <c r="F483" i="12"/>
  <c r="H483" i="12"/>
  <c r="F484" i="12"/>
  <c r="H484" i="12"/>
  <c r="F485" i="12"/>
  <c r="H485" i="12"/>
  <c r="F486" i="12"/>
  <c r="H486" i="12"/>
  <c r="F487" i="12"/>
  <c r="H487" i="12"/>
  <c r="F488" i="12"/>
  <c r="H488" i="12"/>
  <c r="F489" i="12"/>
  <c r="H489" i="12"/>
  <c r="F490" i="12"/>
  <c r="H490" i="12"/>
  <c r="F491" i="12"/>
  <c r="H491" i="12"/>
  <c r="F492" i="12"/>
  <c r="H492" i="12"/>
  <c r="F493" i="12"/>
  <c r="H493" i="12"/>
  <c r="F494" i="12"/>
  <c r="H494" i="12"/>
  <c r="F495" i="12"/>
  <c r="H495" i="12"/>
  <c r="F496" i="12"/>
  <c r="H496" i="12"/>
  <c r="F497" i="12"/>
  <c r="H497" i="12"/>
  <c r="F498" i="12"/>
  <c r="H498" i="12"/>
  <c r="F499" i="12"/>
  <c r="H499" i="12"/>
  <c r="F500" i="12"/>
  <c r="H500" i="12"/>
  <c r="AZ2" i="12"/>
  <c r="AX2" i="12"/>
  <c r="AV2" i="12"/>
  <c r="H244" i="12"/>
  <c r="H236" i="12"/>
  <c r="H228" i="12"/>
  <c r="H220" i="12"/>
  <c r="H212" i="12"/>
  <c r="H204" i="12"/>
  <c r="H200" i="12"/>
  <c r="H192" i="12"/>
  <c r="H160" i="12"/>
  <c r="H140" i="12"/>
  <c r="H248" i="12"/>
  <c r="H240" i="12"/>
  <c r="H232" i="12"/>
  <c r="H224" i="12"/>
  <c r="H216" i="12"/>
  <c r="H208" i="12"/>
  <c r="H196" i="12"/>
  <c r="H251" i="12"/>
  <c r="H247" i="12"/>
  <c r="H243" i="12"/>
  <c r="H239" i="12"/>
  <c r="H235" i="12"/>
  <c r="H231" i="12"/>
  <c r="H227" i="12"/>
  <c r="H223" i="12"/>
  <c r="H219" i="12"/>
  <c r="H215" i="12"/>
  <c r="H211" i="12"/>
  <c r="H207" i="12"/>
  <c r="H203" i="12"/>
  <c r="H199" i="12"/>
  <c r="H195" i="12"/>
  <c r="H191" i="12"/>
  <c r="H179" i="12"/>
  <c r="H127" i="12"/>
  <c r="H119" i="12"/>
  <c r="H107" i="12"/>
  <c r="H189" i="12"/>
  <c r="H187" i="12"/>
  <c r="H188" i="12"/>
  <c r="H186" i="12"/>
  <c r="H185" i="12"/>
  <c r="H183" i="12"/>
  <c r="H184" i="12"/>
  <c r="H181" i="12"/>
  <c r="H180" i="12"/>
  <c r="H172" i="12"/>
  <c r="H178" i="12"/>
  <c r="H177" i="12"/>
  <c r="H176" i="12"/>
  <c r="H175" i="12"/>
  <c r="H174" i="12"/>
  <c r="H173" i="12"/>
  <c r="H171" i="12"/>
  <c r="H170" i="12"/>
  <c r="H168" i="12"/>
  <c r="H169" i="12"/>
  <c r="H166" i="12"/>
  <c r="H167" i="12"/>
  <c r="H165" i="12"/>
  <c r="H164" i="12"/>
  <c r="H163" i="12"/>
  <c r="H162" i="12"/>
  <c r="H161" i="12"/>
  <c r="H159" i="12"/>
  <c r="H158" i="12"/>
  <c r="H156" i="12"/>
  <c r="H155" i="12"/>
  <c r="H154" i="12"/>
  <c r="H153" i="12"/>
  <c r="H152" i="12"/>
  <c r="H149" i="12"/>
  <c r="H151" i="12"/>
  <c r="H147" i="12"/>
  <c r="H150" i="12"/>
  <c r="H148" i="12"/>
  <c r="H145" i="12"/>
  <c r="H142" i="12"/>
  <c r="H144" i="12"/>
  <c r="H143" i="12"/>
  <c r="H141" i="12"/>
  <c r="H139" i="12"/>
  <c r="H138" i="12"/>
  <c r="H157" i="12"/>
  <c r="H137" i="12"/>
  <c r="H136" i="12"/>
  <c r="H135" i="12"/>
  <c r="H134" i="12"/>
  <c r="H133" i="12"/>
  <c r="H132" i="12"/>
  <c r="H131" i="12"/>
  <c r="H129" i="12"/>
  <c r="H128" i="12"/>
  <c r="H125" i="12"/>
  <c r="H124" i="12"/>
  <c r="H123" i="12"/>
  <c r="H121" i="12"/>
  <c r="H120" i="12"/>
  <c r="H118" i="12"/>
  <c r="H117" i="12"/>
  <c r="H116" i="12"/>
  <c r="H115" i="12"/>
  <c r="H113" i="12"/>
  <c r="H112" i="12"/>
  <c r="H111" i="12"/>
  <c r="H110" i="12"/>
  <c r="H109" i="12"/>
  <c r="H108" i="12"/>
  <c r="H106" i="12"/>
  <c r="H105" i="12"/>
  <c r="H102" i="12"/>
  <c r="H98" i="12"/>
  <c r="H94" i="12"/>
  <c r="H90" i="12"/>
  <c r="H86" i="12"/>
  <c r="H74" i="12"/>
  <c r="H70" i="12"/>
  <c r="H54" i="12"/>
  <c r="H101" i="12"/>
  <c r="H97" i="12"/>
  <c r="H93" i="12"/>
  <c r="H104" i="12"/>
  <c r="H100" i="12"/>
  <c r="H96" i="12"/>
  <c r="H12" i="12"/>
  <c r="H103" i="12"/>
  <c r="H99" i="12"/>
  <c r="H95" i="12"/>
  <c r="H89" i="12"/>
  <c r="H85" i="12"/>
  <c r="H92" i="12"/>
  <c r="H88" i="12"/>
  <c r="H60" i="12"/>
  <c r="H91" i="12"/>
  <c r="H87" i="12"/>
  <c r="H83" i="12"/>
  <c r="H71" i="12"/>
  <c r="H84" i="12"/>
  <c r="H82" i="12"/>
  <c r="H81" i="12"/>
  <c r="H80" i="12"/>
  <c r="H79" i="12"/>
  <c r="H78" i="12"/>
  <c r="H77" i="12"/>
  <c r="H76" i="12"/>
  <c r="H75" i="12"/>
  <c r="H73" i="12"/>
  <c r="H72" i="12"/>
  <c r="H69" i="12"/>
  <c r="H68" i="12"/>
  <c r="H67" i="12"/>
  <c r="H66" i="12"/>
  <c r="H64" i="12"/>
  <c r="H65" i="12"/>
  <c r="H63" i="12"/>
  <c r="H62" i="12"/>
  <c r="H61" i="12"/>
  <c r="H59" i="12"/>
  <c r="H58" i="12"/>
  <c r="H57" i="12"/>
  <c r="H56" i="12"/>
  <c r="H55" i="12"/>
  <c r="H53" i="12"/>
  <c r="H52" i="12"/>
  <c r="H51" i="12"/>
  <c r="H50" i="12"/>
  <c r="H49" i="12"/>
  <c r="H48" i="12"/>
  <c r="H47" i="12"/>
  <c r="H46" i="12"/>
  <c r="H45" i="12"/>
  <c r="H44" i="12"/>
  <c r="H43" i="12"/>
  <c r="H42" i="12"/>
  <c r="H41" i="12"/>
  <c r="H40" i="12"/>
  <c r="H39" i="12"/>
  <c r="H38" i="12"/>
  <c r="H37" i="12"/>
  <c r="H36" i="12"/>
  <c r="H35" i="12"/>
  <c r="H34" i="12"/>
  <c r="H33" i="12"/>
  <c r="H29" i="12"/>
  <c r="H18" i="12"/>
  <c r="H17" i="12"/>
  <c r="H16" i="12"/>
  <c r="H14" i="12"/>
  <c r="H9" i="12"/>
  <c r="H8" i="12"/>
  <c r="H5" i="12"/>
  <c r="I32" i="9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P2" i="12"/>
  <c r="T2" i="12"/>
  <c r="X2" i="12"/>
  <c r="AB2" i="12"/>
  <c r="AF2" i="12"/>
  <c r="AJ2" i="12"/>
  <c r="AN2" i="12"/>
  <c r="AR2" i="12"/>
  <c r="BD2" i="12"/>
  <c r="BH2" i="12"/>
  <c r="BL2" i="12"/>
  <c r="BP2" i="12"/>
  <c r="B4" i="9"/>
  <c r="B12" i="9" s="1"/>
  <c r="I22" i="9"/>
  <c r="I21" i="9"/>
  <c r="I20" i="9"/>
  <c r="I19" i="9"/>
  <c r="I18" i="9"/>
  <c r="I17" i="9"/>
  <c r="I16" i="9"/>
  <c r="I15" i="9"/>
  <c r="I14" i="9"/>
  <c r="I13" i="9"/>
  <c r="H13" i="9"/>
  <c r="H24" i="12" l="1"/>
  <c r="C3" i="13"/>
  <c r="G3" i="13"/>
  <c r="H3" i="12"/>
  <c r="E3" i="13"/>
  <c r="B3" i="13"/>
</calcChain>
</file>

<file path=xl/comments1.xml><?xml version="1.0" encoding="utf-8"?>
<comments xmlns="http://schemas.openxmlformats.org/spreadsheetml/2006/main">
  <authors>
    <author>wwDVCuong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>wwDVCuong:</t>
        </r>
        <r>
          <rPr>
            <sz val="9"/>
            <color indexed="81"/>
            <rFont val="Tahoma"/>
            <family val="2"/>
          </rPr>
          <t xml:space="preserve">
Nhập Schedule, kiểm tra spend time và làm báo cáo ngày</t>
        </r>
      </text>
    </comment>
  </commentList>
</comments>
</file>

<file path=xl/sharedStrings.xml><?xml version="1.0" encoding="utf-8"?>
<sst xmlns="http://schemas.openxmlformats.org/spreadsheetml/2006/main" count="415" uniqueCount="215">
  <si>
    <t>WAITING</t>
  </si>
  <si>
    <t>INPROCESS</t>
  </si>
  <si>
    <t>PENDING</t>
  </si>
  <si>
    <t>DONE</t>
  </si>
  <si>
    <t>CODING</t>
  </si>
  <si>
    <t>Owner report:</t>
  </si>
  <si>
    <t>Owner leader to:</t>
  </si>
  <si>
    <t>Date report:</t>
  </si>
  <si>
    <t>Column process:</t>
  </si>
  <si>
    <t xml:space="preserve">Column project: </t>
  </si>
  <si>
    <t>Column task name:</t>
  </si>
  <si>
    <t>Percent default:</t>
  </si>
  <si>
    <t>NO.</t>
  </si>
  <si>
    <t>PROJECT</t>
  </si>
  <si>
    <t>ON</t>
  </si>
  <si>
    <t>Thank for your support</t>
  </si>
  <si>
    <t>%</t>
  </si>
  <si>
    <t>PROBLEM</t>
  </si>
  <si>
    <t>IMPRESSIONS</t>
  </si>
  <si>
    <t xml:space="preserve">[CHATWORK] </t>
  </si>
  <si>
    <t>PROCESS</t>
  </si>
  <si>
    <t>yyyy-mm-dd</t>
  </si>
  <si>
    <t>Sheet data report:</t>
  </si>
  <si>
    <t xml:space="preserve">・Problem 1 : 
     -  Cause : 
     -  How to resolve :
     -  Improvement　:  </t>
  </si>
  <si>
    <t>Problem:</t>
  </si>
  <si>
    <t>Task not in report:</t>
  </si>
  <si>
    <t>9</t>
  </si>
  <si>
    <t>10</t>
  </si>
  <si>
    <t>No</t>
    <phoneticPr fontId="1"/>
  </si>
  <si>
    <t>Project</t>
    <phoneticPr fontId="1"/>
  </si>
  <si>
    <t>Member</t>
    <phoneticPr fontId="1"/>
  </si>
  <si>
    <t>Status</t>
    <phoneticPr fontId="1"/>
  </si>
  <si>
    <t>Process</t>
    <phoneticPr fontId="1"/>
  </si>
  <si>
    <t>CLOSE</t>
  </si>
  <si>
    <t>Training</t>
  </si>
  <si>
    <t>Other</t>
  </si>
  <si>
    <t>Meeting</t>
  </si>
  <si>
    <t>MEETING</t>
  </si>
  <si>
    <t>MERGE SHELVE</t>
  </si>
  <si>
    <t>MERGE LATEST</t>
  </si>
  <si>
    <t>Leader Task</t>
  </si>
  <si>
    <t>Office Task</t>
  </si>
  <si>
    <t>INTERVIEW</t>
  </si>
  <si>
    <t>Performance Review</t>
  </si>
  <si>
    <t>CHECKIN</t>
  </si>
  <si>
    <t>SUPPORT CODING</t>
  </si>
  <si>
    <t>DAILY REPORT</t>
  </si>
  <si>
    <t>FIX BUG</t>
  </si>
  <si>
    <t>OTHER</t>
  </si>
  <si>
    <t>Task name</t>
  </si>
  <si>
    <t>WRITE KNOWHOW</t>
  </si>
  <si>
    <t>UPDATE KNOWHOW</t>
  </si>
  <si>
    <t>REVIEW KNOWHOW</t>
  </si>
  <si>
    <t>Admin</t>
  </si>
  <si>
    <t>OFF</t>
  </si>
  <si>
    <t>HR</t>
  </si>
  <si>
    <t>Daily Report</t>
  </si>
  <si>
    <t>MERGE CHANGESET</t>
  </si>
  <si>
    <t>CONFIRM BUG</t>
  </si>
  <si>
    <t>CONTACT QC</t>
  </si>
  <si>
    <t>Project</t>
  </si>
  <si>
    <t>Interview</t>
  </si>
  <si>
    <t>REVIEW RESEARCH</t>
  </si>
  <si>
    <t>REVIEW VN</t>
  </si>
  <si>
    <t>SUPPORT FIX BUG</t>
  </si>
  <si>
    <t>※ Mình đã cập nhật thông số đây đủ vào file Estimate chưa nhỉ?</t>
  </si>
  <si>
    <t>※ Mình đã nhập scheduled trước khi ra về chưa nhỉ?</t>
  </si>
  <si>
    <r>
      <t xml:space="preserve">※ Mình đã nhập </t>
    </r>
    <r>
      <rPr>
        <b/>
        <sz val="14"/>
        <color rgb="FFFF0000"/>
        <rFont val="Calibri"/>
        <family val="2"/>
        <scheme val="minor"/>
      </rPr>
      <t>scheduled</t>
    </r>
    <r>
      <rPr>
        <b/>
        <sz val="14"/>
        <color theme="1"/>
        <rFont val="Calibri"/>
        <family val="2"/>
        <scheme val="minor"/>
      </rPr>
      <t xml:space="preserve"> trước khi ra về chưa nhỉ?</t>
    </r>
  </si>
  <si>
    <t>※ Một số cách nhập đúng [project] và [processs]</t>
  </si>
  <si>
    <t>[Process]</t>
  </si>
  <si>
    <t>Note</t>
  </si>
  <si>
    <t xml:space="preserve"> [Project]</t>
  </si>
  <si>
    <t>QC SUPPORT</t>
  </si>
  <si>
    <t>QC CONTACT</t>
  </si>
  <si>
    <t>QC PREPARE DATA</t>
  </si>
  <si>
    <t>QC WRITE TP</t>
  </si>
  <si>
    <t>QC WRITE TC</t>
  </si>
  <si>
    <t>QC GET EVD</t>
  </si>
  <si>
    <t>QC REVIEW EVD</t>
  </si>
  <si>
    <t>QC QA</t>
  </si>
  <si>
    <t>QC WRITE BUG LIST</t>
  </si>
  <si>
    <t>WRITE REQUIREMENT</t>
  </si>
  <si>
    <t>MERGE REQUIREMENT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</si>
  <si>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</si>
  <si>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</si>
  <si>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</si>
  <si>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</si>
  <si>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</si>
  <si>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</si>
  <si>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</si>
  <si>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</si>
  <si>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</si>
  <si>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</si>
  <si>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SUPPORT REVIEW VN</t>
  </si>
  <si>
    <t>TRANSLATE</t>
  </si>
  <si>
    <t>OVERVIEW</t>
  </si>
  <si>
    <t>Nhâp Worklist &amp; Lease</t>
  </si>
  <si>
    <t>Monthly Meeting</t>
  </si>
  <si>
    <t>TASK</t>
  </si>
  <si>
    <t>Estimate</t>
  </si>
  <si>
    <t>Tổng hợp</t>
  </si>
  <si>
    <t>Thông số task</t>
  </si>
  <si>
    <t>Future Development</t>
  </si>
  <si>
    <t>MAPPING SOURCE</t>
  </si>
  <si>
    <t>READ REQUIREMENT</t>
  </si>
  <si>
    <t>FIX VN REVIEW</t>
  </si>
  <si>
    <t>FIX JP REVIEW</t>
  </si>
  <si>
    <t>RUN TEST</t>
  </si>
  <si>
    <t>SUPPORT FIX VN REVIEW</t>
  </si>
  <si>
    <t>SUPPORT FIX JP REVIEW</t>
  </si>
  <si>
    <t>SUPPORT RUN TEST</t>
  </si>
  <si>
    <t>REVIEW OF FIX JP REVIEW</t>
  </si>
  <si>
    <t>OUTPUT RESEARCH</t>
  </si>
  <si>
    <t>FIX REVIEW RESEARCH</t>
  </si>
  <si>
    <t>PUBLISH RESEARCH</t>
  </si>
  <si>
    <t>INVESTIGATE</t>
  </si>
  <si>
    <t>INVESTIGATE &amp; SOLUTION</t>
  </si>
  <si>
    <t>REVIEW INVESTIGATE</t>
  </si>
  <si>
    <t>REVIEW INVESTIGATE &amp; SOLUTION</t>
  </si>
  <si>
    <t>UPDATE BUG LIST</t>
  </si>
  <si>
    <t>FIX TRANSLATE</t>
  </si>
  <si>
    <t>REVIEW TRANSLATE</t>
  </si>
  <si>
    <t>DEV GET EVD</t>
  </si>
  <si>
    <t>FIX REQUIREMENT</t>
  </si>
  <si>
    <t>REVIEW REQUIREMENT</t>
  </si>
  <si>
    <t>Task Name</t>
  </si>
  <si>
    <t>Process</t>
  </si>
  <si>
    <r>
      <t xml:space="preserve">Estimate
</t>
    </r>
    <r>
      <rPr>
        <b/>
        <sz val="10"/>
        <color theme="0"/>
        <rFont val="Times New Roman"/>
        <family val="1"/>
      </rPr>
      <t>(Thông số dự định)</t>
    </r>
  </si>
  <si>
    <r>
      <t xml:space="preserve">Cost
</t>
    </r>
    <r>
      <rPr>
        <b/>
        <sz val="10"/>
        <color theme="0"/>
        <rFont val="Times New Roman"/>
        <family val="1"/>
      </rPr>
      <t>(Thông số thực tế)</t>
    </r>
  </si>
  <si>
    <r>
      <t xml:space="preserve">OFF
</t>
    </r>
    <r>
      <rPr>
        <b/>
        <sz val="10"/>
        <color theme="0"/>
        <rFont val="Times New Roman"/>
        <family val="1"/>
      </rPr>
      <t>(Thông số nghỉ)</t>
    </r>
  </si>
  <si>
    <r>
      <t xml:space="preserve">Late
</t>
    </r>
    <r>
      <rPr>
        <b/>
        <sz val="10"/>
        <color theme="0"/>
        <rFont val="Times New Roman"/>
        <family val="1"/>
      </rPr>
      <t>(Thông số trễ)</t>
    </r>
  </si>
  <si>
    <t>Training Newcomer</t>
  </si>
  <si>
    <t>Research</t>
  </si>
  <si>
    <t>Free</t>
  </si>
  <si>
    <t>Các công việc liên quan đến quản lý, thông số</t>
  </si>
  <si>
    <t>Dùng cho khi có họp hành, trả kết quả performance,…</t>
  </si>
  <si>
    <t>cho TTS, thử việc và member review cho các member này</t>
  </si>
  <si>
    <t>Cho member chính thức và member review làm các task training nâng cao kỹ năng.</t>
  </si>
  <si>
    <t>Member chính thức research chức năng nghiệp vụ</t>
  </si>
  <si>
    <t>Dùng cho V5 Document và các task Coupon,... (không phải training)</t>
  </si>
  <si>
    <t>Các công việc văn phòng được phân công (hỗ trợ lắp máy,...)</t>
  </si>
  <si>
    <t>Dùng cho các công việc liên quan đến phỏng vấn, đánh giá phỏng vấn</t>
  </si>
  <si>
    <t>Chỉ dùng cho các công việc liên quan đến HR</t>
  </si>
  <si>
    <t>Chỉ dùng cho các công việc liên quan đến Admin</t>
  </si>
  <si>
    <t>Trường hợp trống task thì để như vậy không để trong other nữa.</t>
  </si>
  <si>
    <t>Những cái khác cái trên</t>
  </si>
  <si>
    <t>Hỗ trợ QC get EVD</t>
  </si>
  <si>
    <t>Nghỉ phép (Không làm việc)</t>
  </si>
  <si>
    <t>Thanks Anhさん.</t>
  </si>
  <si>
    <t>CONTACT DEV</t>
  </si>
  <si>
    <r>
      <rPr>
        <b/>
        <sz val="12"/>
        <color theme="0"/>
        <rFont val="Segoe UI"/>
        <family val="2"/>
      </rPr>
      <t>Spend</t>
    </r>
    <r>
      <rPr>
        <b/>
        <sz val="13"/>
        <color theme="0"/>
        <rFont val="Segoe UI"/>
        <family val="2"/>
      </rPr>
      <t xml:space="preserve">
</t>
    </r>
    <r>
      <rPr>
        <b/>
        <sz val="9"/>
        <color theme="0"/>
        <rFont val="Segoe UI"/>
        <family val="2"/>
      </rPr>
      <t>(2)</t>
    </r>
  </si>
  <si>
    <r>
      <rPr>
        <b/>
        <sz val="12"/>
        <color theme="0"/>
        <rFont val="Segoe UI"/>
        <family val="2"/>
      </rPr>
      <t>Late</t>
    </r>
    <r>
      <rPr>
        <b/>
        <sz val="11"/>
        <color theme="0"/>
        <rFont val="Segoe UI"/>
        <family val="2"/>
      </rPr>
      <t xml:space="preserve">
</t>
    </r>
    <r>
      <rPr>
        <b/>
        <sz val="9"/>
        <color theme="0"/>
        <rFont val="Segoe UI"/>
        <family val="2"/>
      </rPr>
      <t>(3)</t>
    </r>
  </si>
  <si>
    <r>
      <rPr>
        <b/>
        <sz val="12"/>
        <color theme="0"/>
        <rFont val="Segoe UI"/>
        <family val="2"/>
      </rPr>
      <t>OT</t>
    </r>
    <r>
      <rPr>
        <b/>
        <sz val="11"/>
        <color theme="0"/>
        <rFont val="Segoe UI"/>
        <family val="2"/>
      </rPr>
      <t xml:space="preserve">
</t>
    </r>
    <r>
      <rPr>
        <b/>
        <sz val="9"/>
        <color theme="0"/>
        <rFont val="Segoe UI"/>
        <family val="2"/>
      </rPr>
      <t>(4)</t>
    </r>
  </si>
  <si>
    <r>
      <rPr>
        <b/>
        <sz val="12"/>
        <color theme="0"/>
        <rFont val="Segoe UI"/>
        <family val="2"/>
      </rPr>
      <t>OFF</t>
    </r>
    <r>
      <rPr>
        <b/>
        <sz val="11"/>
        <color theme="0"/>
        <rFont val="Segoe UI"/>
        <family val="2"/>
      </rPr>
      <t xml:space="preserve">
</t>
    </r>
    <r>
      <rPr>
        <b/>
        <sz val="9"/>
        <color theme="0"/>
        <rFont val="Segoe UI"/>
        <family val="2"/>
      </rPr>
      <t>(5)</t>
    </r>
  </si>
  <si>
    <r>
      <rPr>
        <b/>
        <sz val="12"/>
        <color rgb="FF006100"/>
        <rFont val="Segoe UI"/>
        <family val="2"/>
      </rPr>
      <t>Spend Date</t>
    </r>
    <r>
      <rPr>
        <b/>
        <sz val="13"/>
        <color rgb="FF006100"/>
        <rFont val="Segoe UI"/>
        <family val="2"/>
      </rPr>
      <t xml:space="preserve">
</t>
    </r>
    <r>
      <rPr>
        <b/>
        <sz val="9"/>
        <color theme="1"/>
        <rFont val="Segoe UI"/>
        <family val="2"/>
      </rPr>
      <t>(</t>
    </r>
    <r>
      <rPr>
        <b/>
        <sz val="9"/>
        <color rgb="FFFF0000"/>
        <rFont val="Segoe UI"/>
        <family val="2"/>
      </rPr>
      <t>yyyy/MM/dd</t>
    </r>
    <r>
      <rPr>
        <b/>
        <sz val="9"/>
        <color theme="1"/>
        <rFont val="Segoe UI"/>
        <family val="2"/>
      </rPr>
      <t>)</t>
    </r>
  </si>
  <si>
    <r>
      <t xml:space="preserve">OT
</t>
    </r>
    <r>
      <rPr>
        <b/>
        <sz val="10"/>
        <color theme="0"/>
        <rFont val="Times New Roman"/>
        <family val="1"/>
      </rPr>
      <t>(Thông số overtime)</t>
    </r>
  </si>
  <si>
    <t>Hướng dẫn nhập spent-time:</t>
  </si>
  <si>
    <t>「\\w2vnfs\Public\777.PJ-Document\SpentTime_YYYYMM_wwMember_Rev3.3.xlsm」</t>
  </si>
  <si>
    <t>Copy file template mới nhất hiện tại là:</t>
  </si>
  <si>
    <t>Sau đó đổi lại những thông tin sau:</t>
  </si>
  <si>
    <t>Đổi tên wwMember tại tên file:</t>
  </si>
  <si>
    <t>Hãy đổi đúng theo tên mỗi người:</t>
  </si>
  <si>
    <t>VD: Nguyễn Văn An =&gt; account sẽ là wwNVAn =&gt; đổi lại wwMember thành: wwNVAn</t>
  </si>
  <si>
    <t>SpentTime_YYYYMM_wwMember_Rev3.3.xlsm =&gt; SpentTime_YYYYMM_wwNVAn.xlsm</t>
  </si>
  <si>
    <t>Đổi tên wwMember trong file:</t>
  </si>
  <si>
    <t>Mở file vừa đổi tên ở trên và đổi tương tự với những chỗ có text: wwMember</t>
  </si>
  <si>
    <t>Chú ý đổi cả tên của sheet nếu có format: wwMember</t>
  </si>
  <si>
    <t>VD: như hình</t>
  </si>
  <si>
    <t>Đổi tên sheet</t>
  </si>
  <si>
    <t>vào thư mục spent-time của mình (folder chung và chia theo mỗi member tại: 「\\w2vnfs\Public\666.Leader Room\SpendTime-Management\[wwMember]」)</t>
  </si>
  <si>
    <t>Save file vừa update ở trên lại để làm file template cho chính mình và sử dụng cho mỗi tháng tiếp theo.</t>
  </si>
  <si>
    <t>■ B1: Copy file template chung và chỉnh sửa lại thành của riêng mình</t>
  </si>
  <si>
    <t>■ B2: Copy file tempate vừa tạo và chỉnh sửa lại file sử dụng cho tháng hiện tại</t>
  </si>
  <si>
    <t>Đổi tên YYYYMM thành Năm Tháng hiện tại</t>
  </si>
  <si>
    <t>VD: Tháng hiện tại là 2023/04 =&gt; YYYYMM =&gt; 202304</t>
  </si>
  <si>
    <t>SpentTime_YYYYMM_wwNVAn.xlsm =&gt; SpentTime_202304_wwNVAn.xlsm</t>
  </si>
  <si>
    <t>Lấy file này sử dụng cho tháng 4 theo như VD, những tháng tiếp theo thì làm tương tự như bước 2 như trên.</t>
  </si>
  <si>
    <t>※ Một số lưu ý nhập nội dung file:</t>
  </si>
  <si>
    <t>● Cần nhập đầy dủ thông tin các cột khoanh vùng đỏ như ở dưới:</t>
  </si>
  <si>
    <t>● Thời gian làm thì sẽ tính theo block 15 phút =&gt; 1 H sẽ có 4 block 15 phút (15' &lt;=&gt; 0.25 H, 30' &lt;=&gt; 0.5 H, 45' &lt;=&gt; 0.75H, 60' &lt;=&gt; 1 H), do đó 1 ô sẽ tương ứng với 15' &lt;=&gt; 0.25 H:</t>
  </si>
  <si>
    <t>● Quy ước chung nhập số tính H làm:</t>
  </si>
  <si>
    <r>
      <t xml:space="preserve">・Số </t>
    </r>
    <r>
      <rPr>
        <b/>
        <sz val="14"/>
        <color theme="1"/>
        <rFont val="Times New Roman"/>
        <family val="1"/>
      </rPr>
      <t>2</t>
    </r>
    <r>
      <rPr>
        <sz val="14"/>
        <color theme="1"/>
        <rFont val="Times New Roman"/>
        <family val="1"/>
      </rPr>
      <t xml:space="preserve">: thời gian thực hiện theo estimate đã định ra </t>
    </r>
  </si>
  <si>
    <r>
      <t xml:space="preserve">・Số </t>
    </r>
    <r>
      <rPr>
        <b/>
        <sz val="14"/>
        <color theme="1"/>
        <rFont val="Times New Roman"/>
        <family val="1"/>
      </rPr>
      <t>3</t>
    </r>
    <r>
      <rPr>
        <sz val="14"/>
        <color theme="1"/>
        <rFont val="Times New Roman"/>
        <family val="1"/>
      </rPr>
      <t xml:space="preserve">: thời gian thực hiện đã quá (trễ) so với thời gian estimate đã định ra </t>
    </r>
  </si>
  <si>
    <r>
      <t xml:space="preserve">・Số </t>
    </r>
    <r>
      <rPr>
        <b/>
        <sz val="14"/>
        <color theme="1"/>
        <rFont val="Times New Roman"/>
        <family val="1"/>
      </rPr>
      <t>4</t>
    </r>
    <r>
      <rPr>
        <sz val="14"/>
        <color theme="1"/>
        <rFont val="Times New Roman"/>
        <family val="1"/>
      </rPr>
      <t xml:space="preserve">: thời gian OT được tính sau 5:30 PM (17:30)  </t>
    </r>
    <r>
      <rPr>
        <sz val="14"/>
        <color rgb="FFFF0000"/>
        <rFont val="Times New Roman"/>
        <family val="1"/>
      </rPr>
      <t>※Phần này cần được sự phê duyệt của cấp trên thì mới được thực hiện OT</t>
    </r>
  </si>
  <si>
    <r>
      <t xml:space="preserve">Đổi text tại sheet: </t>
    </r>
    <r>
      <rPr>
        <b/>
        <i/>
        <sz val="14"/>
        <color rgb="FFFF0000"/>
        <rFont val="Times New Roman"/>
        <family val="1"/>
      </rPr>
      <t>Data</t>
    </r>
  </si>
  <si>
    <r>
      <t xml:space="preserve">Đổi text tại sheet: </t>
    </r>
    <r>
      <rPr>
        <b/>
        <i/>
        <sz val="14"/>
        <color rgb="FFFF0000"/>
        <rFont val="Times New Roman"/>
        <family val="1"/>
      </rPr>
      <t>Daily_Report</t>
    </r>
  </si>
  <si>
    <r>
      <t xml:space="preserve">・Số </t>
    </r>
    <r>
      <rPr>
        <b/>
        <sz val="14"/>
        <color theme="1"/>
        <rFont val="Times New Roman"/>
        <family val="1"/>
      </rPr>
      <t>5</t>
    </r>
    <r>
      <rPr>
        <sz val="14"/>
        <color theme="1"/>
        <rFont val="Times New Roman"/>
        <family val="1"/>
      </rPr>
      <t xml:space="preserve">: thời gian OFF (xin nghỉ) và chỉ tính từ 08:00 AM -&gt; 05:00 PM (08:00 -&gt; 17:00) và </t>
    </r>
    <r>
      <rPr>
        <sz val="14"/>
        <color rgb="FFFF0000"/>
        <rFont val="Times New Roman"/>
        <family val="1"/>
      </rPr>
      <t>không tính ngày lễ/tết, cuối tuần, nghỉ bù lễ</t>
    </r>
    <r>
      <rPr>
        <sz val="14"/>
        <color theme="1"/>
        <rFont val="Times New Roman"/>
        <family val="1"/>
      </rPr>
      <t>.</t>
    </r>
  </si>
  <si>
    <t>ADMIN</t>
  </si>
  <si>
    <t>wwNVChuc</t>
  </si>
  <si>
    <t>RESEARCH</t>
  </si>
  <si>
    <t>Đọc nội quy, tài liệu</t>
  </si>
  <si>
    <t>Nhập thông tin file cần thiết</t>
  </si>
  <si>
    <t>Nhập thông tin Nhân Viên</t>
  </si>
  <si>
    <t>Redmine và Chatwork</t>
  </si>
  <si>
    <t>ISMS</t>
  </si>
  <si>
    <t>Team Rule</t>
  </si>
  <si>
    <t>Working Process</t>
  </si>
  <si>
    <t>WRITE DOCUMENT</t>
  </si>
  <si>
    <t>UPDATE DOCUMENT</t>
  </si>
  <si>
    <t>REVIEW DOCUMENT</t>
  </si>
  <si>
    <t>READ BUG</t>
  </si>
  <si>
    <t>READ REVIEW</t>
  </si>
  <si>
    <t>SUPPORT QC WRITE TP</t>
  </si>
  <si>
    <t>SUPPORT QC WRITE TC</t>
  </si>
  <si>
    <t>バグ 28708</t>
  </si>
  <si>
    <t>V5 - BugList</t>
  </si>
  <si>
    <t>Support Office</t>
  </si>
  <si>
    <t>158_TWN</t>
  </si>
  <si>
    <t>IT_No.072</t>
  </si>
  <si>
    <t>187_KojimaRoyal</t>
  </si>
  <si>
    <t>No1_かかりつけ動物病院登録サイトへの認証リクエスト</t>
  </si>
  <si>
    <t>バグ 29253</t>
  </si>
  <si>
    <t>QC Contact 187_KojimaRoyal/No1_かかりつけ動物病院登録サイトへの認証リクエスト</t>
  </si>
  <si>
    <t>Support nhập dữ liệu vào hệ thống của Admin.</t>
  </si>
  <si>
    <t>Vũ Mạnh Cườngさん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</si>
</sst>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&quot;年&quot;m&quot;月&quot;d&quot;日&quot;;@"/>
  </numFmts>
  <fonts count="4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theme="1"/>
      <name val="Tahoma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Open Sans"/>
      <family val="2"/>
    </font>
    <font>
      <b/>
      <sz val="10"/>
      <color theme="1"/>
      <name val="Open Sans"/>
      <family val="2"/>
    </font>
    <font>
      <sz val="11"/>
      <color theme="1"/>
      <name val="Tahoma"/>
      <family val="2"/>
    </font>
    <font>
      <sz val="11"/>
      <color theme="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3"/>
      <color rgb="FF006100"/>
      <name val="Tahoma"/>
      <family val="2"/>
    </font>
    <font>
      <sz val="13"/>
      <color rgb="FF9C6500"/>
      <name val="Tahoma"/>
      <family val="2"/>
    </font>
    <font>
      <sz val="11"/>
      <color theme="1"/>
      <name val="Tahoma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Tahoma"/>
      <family val="2"/>
    </font>
    <font>
      <sz val="12"/>
      <color theme="1"/>
      <name val="Tahoma"/>
      <family val="2"/>
    </font>
    <font>
      <b/>
      <sz val="8"/>
      <color theme="1"/>
      <name val="Open Sans"/>
    </font>
    <font>
      <sz val="11"/>
      <color theme="1"/>
      <name val="Segoe UI"/>
      <family val="2"/>
    </font>
    <font>
      <sz val="14"/>
      <color theme="1"/>
      <name val="Times New Roman"/>
      <family val="1"/>
    </font>
    <font>
      <b/>
      <sz val="14"/>
      <color theme="0"/>
      <name val="Times New Roman"/>
      <family val="1"/>
    </font>
    <font>
      <b/>
      <sz val="10"/>
      <color theme="0"/>
      <name val="Times New Roman"/>
      <family val="1"/>
    </font>
    <font>
      <b/>
      <sz val="14"/>
      <color rgb="FFFF0000"/>
      <name val="Segoe UI"/>
      <family val="2"/>
    </font>
    <font>
      <sz val="11"/>
      <color theme="1"/>
      <name val="Tahoma"/>
      <family val="2"/>
    </font>
    <font>
      <sz val="11"/>
      <color theme="0"/>
      <name val="Segoe UI"/>
      <family val="2"/>
    </font>
    <font>
      <b/>
      <sz val="12"/>
      <color theme="0"/>
      <name val="Segoe UI"/>
      <family val="2"/>
    </font>
    <font>
      <b/>
      <sz val="13"/>
      <color theme="0"/>
      <name val="Segoe UI"/>
      <family val="2"/>
    </font>
    <font>
      <b/>
      <sz val="9"/>
      <color theme="0"/>
      <name val="Segoe UI"/>
      <family val="2"/>
    </font>
    <font>
      <b/>
      <sz val="11"/>
      <color theme="0"/>
      <name val="Segoe UI"/>
      <family val="2"/>
    </font>
    <font>
      <b/>
      <sz val="13"/>
      <color rgb="FF006100"/>
      <name val="Segoe UI"/>
      <family val="2"/>
    </font>
    <font>
      <b/>
      <sz val="12"/>
      <color rgb="FF006100"/>
      <name val="Segoe UI"/>
      <family val="2"/>
    </font>
    <font>
      <b/>
      <sz val="9"/>
      <color theme="1"/>
      <name val="Segoe UI"/>
      <family val="2"/>
    </font>
    <font>
      <b/>
      <sz val="9"/>
      <color rgb="FFFF0000"/>
      <name val="Segoe UI"/>
      <family val="2"/>
    </font>
    <font>
      <b/>
      <sz val="11"/>
      <color theme="1"/>
      <name val="Segoe UI"/>
      <family val="2"/>
    </font>
    <font>
      <b/>
      <sz val="11"/>
      <color rgb="FFC00000"/>
      <name val="Segoe UI"/>
      <family val="2"/>
    </font>
    <font>
      <b/>
      <sz val="14"/>
      <color theme="1"/>
      <name val="Times New Roman"/>
      <family val="1"/>
    </font>
    <font>
      <b/>
      <u/>
      <sz val="14"/>
      <color theme="1"/>
      <name val="Times New Roman"/>
      <family val="1"/>
    </font>
    <font>
      <u/>
      <sz val="14"/>
      <color theme="1"/>
      <name val="Times New Roman"/>
      <family val="1"/>
    </font>
    <font>
      <sz val="14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i/>
      <sz val="14"/>
      <color theme="1"/>
      <name val="Times New Roman"/>
      <family val="1"/>
    </font>
    <font>
      <b/>
      <i/>
      <sz val="14"/>
      <color rgb="FFFF0000"/>
      <name val="Times New Roman"/>
      <family val="1"/>
    </font>
    <font>
      <sz val="11"/>
      <color theme="1"/>
      <name val="Tahoma"/>
      <family val="2"/>
    </font>
    <font>
      <b/>
      <sz val="11"/>
      <color rgb="FF242424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/>
        <bgColor indexed="64"/>
      </patternFill>
    </fill>
  </fills>
  <borders count="2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theme="6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1" fillId="10" borderId="0" applyNumberFormat="0" applyBorder="0" applyAlignment="0" applyProtection="0"/>
    <xf numFmtId="0" fontId="12" fillId="11" borderId="0" applyNumberFormat="0" applyBorder="0" applyAlignment="0" applyProtection="0"/>
    <xf numFmtId="0" fontId="14" fillId="0" borderId="0"/>
  </cellStyleXfs>
  <cellXfs count="156">
    <xf numFmtId="0" fontId="0" fillId="0" borderId="0" xfId="0">
      <alignment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>
      <alignment vertical="center"/>
    </xf>
    <xf numFmtId="0" fontId="2" fillId="0" borderId="1" xfId="0" applyFont="1" applyFill="1" applyBorder="1">
      <alignment vertical="center"/>
    </xf>
    <xf numFmtId="0" fontId="2" fillId="0" borderId="2" xfId="0" applyFont="1" applyFill="1" applyBorder="1">
      <alignment vertical="center"/>
    </xf>
    <xf numFmtId="0" fontId="2" fillId="0" borderId="3" xfId="0" applyFont="1" applyFill="1" applyBorder="1">
      <alignment vertical="center"/>
    </xf>
    <xf numFmtId="0" fontId="2" fillId="0" borderId="0" xfId="0" applyFont="1" applyFill="1" applyBorder="1">
      <alignment vertical="center"/>
    </xf>
    <xf numFmtId="0" fontId="2" fillId="0" borderId="0" xfId="0" applyFont="1" applyFill="1">
      <alignment vertical="center"/>
    </xf>
    <xf numFmtId="0" fontId="7" fillId="0" borderId="0" xfId="0" applyFont="1" applyFill="1">
      <alignment vertical="center"/>
    </xf>
    <xf numFmtId="0" fontId="7" fillId="0" borderId="1" xfId="0" applyFont="1" applyFill="1" applyBorder="1">
      <alignment vertical="center"/>
    </xf>
    <xf numFmtId="0" fontId="8" fillId="0" borderId="0" xfId="0" applyFont="1" applyFill="1">
      <alignment vertical="center"/>
    </xf>
    <xf numFmtId="0" fontId="15" fillId="0" borderId="0" xfId="0" applyFont="1" applyFill="1" applyBorder="1">
      <alignment vertical="center"/>
    </xf>
    <xf numFmtId="0" fontId="15" fillId="12" borderId="17" xfId="0" applyFont="1" applyFill="1" applyBorder="1">
      <alignment vertical="center"/>
    </xf>
    <xf numFmtId="0" fontId="15" fillId="12" borderId="18" xfId="0" applyFont="1" applyFill="1" applyBorder="1">
      <alignment vertical="center"/>
    </xf>
    <xf numFmtId="0" fontId="17" fillId="0" borderId="0" xfId="0" applyFont="1" applyFill="1" applyBorder="1">
      <alignment vertical="center"/>
    </xf>
    <xf numFmtId="0" fontId="18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15" fillId="12" borderId="19" xfId="0" applyFont="1" applyFill="1" applyBorder="1">
      <alignment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Protection="1">
      <alignment vertical="center"/>
      <protection locked="0"/>
    </xf>
    <xf numFmtId="0" fontId="2" fillId="0" borderId="0" xfId="0" applyFont="1" applyFill="1" applyBorder="1" applyProtection="1">
      <alignment vertical="center"/>
      <protection locked="0"/>
    </xf>
    <xf numFmtId="0" fontId="3" fillId="13" borderId="0" xfId="0" applyFont="1" applyFill="1" applyProtection="1">
      <alignment vertical="center"/>
      <protection locked="0"/>
    </xf>
    <xf numFmtId="22" fontId="3" fillId="13" borderId="0" xfId="0" applyNumberFormat="1" applyFont="1" applyFill="1" applyAlignment="1" applyProtection="1">
      <alignment horizontal="left" vertical="center"/>
      <protection locked="0"/>
    </xf>
    <xf numFmtId="0" fontId="3" fillId="13" borderId="0" xfId="0" quotePrefix="1" applyFont="1" applyFill="1" applyAlignment="1" applyProtection="1">
      <alignment horizontal="left" vertical="top" wrapText="1"/>
      <protection locked="0"/>
    </xf>
    <xf numFmtId="0" fontId="22" fillId="14" borderId="20" xfId="0" applyFont="1" applyFill="1" applyBorder="1" applyAlignment="1">
      <alignment horizontal="center" vertical="center" wrapText="1"/>
    </xf>
    <xf numFmtId="0" fontId="24" fillId="8" borderId="20" xfId="0" applyFont="1" applyFill="1" applyBorder="1" applyAlignment="1">
      <alignment horizontal="center" vertical="center"/>
    </xf>
    <xf numFmtId="0" fontId="22" fillId="9" borderId="20" xfId="0" applyFont="1" applyFill="1" applyBorder="1" applyAlignment="1">
      <alignment horizontal="center" vertical="center" wrapText="1"/>
    </xf>
    <xf numFmtId="0" fontId="22" fillId="15" borderId="20" xfId="0" applyFont="1" applyFill="1" applyBorder="1" applyAlignment="1">
      <alignment horizontal="center" vertical="center" wrapText="1"/>
    </xf>
    <xf numFmtId="0" fontId="21" fillId="16" borderId="0" xfId="0" applyFont="1" applyFill="1">
      <alignment vertical="center"/>
    </xf>
    <xf numFmtId="0" fontId="21" fillId="16" borderId="0" xfId="0" applyFont="1" applyFill="1" applyBorder="1">
      <alignment vertical="center"/>
    </xf>
    <xf numFmtId="0" fontId="22" fillId="16" borderId="0" xfId="0" applyFont="1" applyFill="1" applyBorder="1" applyAlignment="1">
      <alignment horizontal="center" vertical="center" wrapText="1"/>
    </xf>
    <xf numFmtId="0" fontId="24" fillId="16" borderId="0" xfId="0" applyFont="1" applyFill="1" applyBorder="1" applyAlignment="1">
      <alignment horizontal="center" vertical="center"/>
    </xf>
    <xf numFmtId="0" fontId="2" fillId="0" borderId="1" xfId="0" applyFont="1" applyFill="1" applyBorder="1" applyProtection="1">
      <alignment vertical="center"/>
      <protection locked="0"/>
    </xf>
    <xf numFmtId="0" fontId="13" fillId="0" borderId="0" xfId="0" applyFont="1" applyFill="1" applyProtection="1">
      <alignment vertical="center"/>
      <protection locked="0"/>
    </xf>
    <xf numFmtId="0" fontId="7" fillId="0" borderId="1" xfId="0" applyFont="1" applyFill="1" applyBorder="1" applyProtection="1">
      <alignment vertical="center"/>
      <protection locked="0"/>
    </xf>
    <xf numFmtId="0" fontId="2" fillId="0" borderId="3" xfId="0" applyFont="1" applyFill="1" applyBorder="1" applyProtection="1">
      <alignment vertical="center"/>
      <protection locked="0"/>
    </xf>
    <xf numFmtId="0" fontId="2" fillId="0" borderId="2" xfId="0" applyFont="1" applyFill="1" applyBorder="1" applyProtection="1">
      <alignment vertical="center"/>
      <protection locked="0"/>
    </xf>
    <xf numFmtId="0" fontId="20" fillId="0" borderId="0" xfId="0" applyFont="1" applyProtection="1">
      <alignment vertical="center"/>
      <protection locked="0"/>
    </xf>
    <xf numFmtId="0" fontId="8" fillId="0" borderId="0" xfId="0" applyFont="1" applyFill="1" applyProtection="1">
      <alignment vertical="center"/>
      <protection locked="0"/>
    </xf>
    <xf numFmtId="0" fontId="7" fillId="0" borderId="0" xfId="0" applyFont="1" applyFill="1" applyProtection="1">
      <alignment vertical="center"/>
      <protection locked="0"/>
    </xf>
    <xf numFmtId="0" fontId="17" fillId="0" borderId="0" xfId="0" applyFont="1" applyFill="1" applyProtection="1">
      <alignment vertical="center"/>
      <protection locked="0"/>
    </xf>
    <xf numFmtId="0" fontId="17" fillId="0" borderId="0" xfId="0" applyFont="1" applyFill="1">
      <alignment vertical="center"/>
    </xf>
    <xf numFmtId="0" fontId="17" fillId="0" borderId="0" xfId="0" applyFont="1" applyAlignment="1">
      <alignment vertical="center"/>
    </xf>
    <xf numFmtId="0" fontId="17" fillId="0" borderId="1" xfId="0" applyFont="1" applyFill="1" applyBorder="1">
      <alignment vertical="center"/>
    </xf>
    <xf numFmtId="0" fontId="17" fillId="0" borderId="0" xfId="0" applyFont="1" applyFill="1" applyAlignment="1">
      <alignment vertical="center"/>
    </xf>
    <xf numFmtId="0" fontId="25" fillId="0" borderId="0" xfId="0" applyFont="1" applyFill="1" applyProtection="1">
      <alignment vertical="center"/>
      <protection locked="0"/>
    </xf>
    <xf numFmtId="0" fontId="20" fillId="0" borderId="4" xfId="0" applyFont="1" applyFill="1" applyBorder="1" applyAlignment="1" applyProtection="1">
      <alignment horizontal="left" vertical="center" indent="1"/>
      <protection locked="0"/>
    </xf>
    <xf numFmtId="0" fontId="20" fillId="0" borderId="6" xfId="0" applyFont="1" applyFill="1" applyBorder="1" applyAlignment="1" applyProtection="1">
      <alignment horizontal="center" vertical="center"/>
      <protection locked="0"/>
    </xf>
    <xf numFmtId="0" fontId="20" fillId="0" borderId="7" xfId="0" applyFont="1" applyFill="1" applyBorder="1" applyAlignment="1" applyProtection="1">
      <alignment horizontal="center" vertical="center"/>
      <protection locked="0"/>
    </xf>
    <xf numFmtId="0" fontId="20" fillId="0" borderId="8" xfId="0" applyFont="1" applyFill="1" applyBorder="1" applyAlignment="1" applyProtection="1">
      <alignment horizontal="center" vertical="center"/>
      <protection locked="0"/>
    </xf>
    <xf numFmtId="0" fontId="20" fillId="0" borderId="0" xfId="0" applyFont="1" applyFill="1" applyProtection="1">
      <alignment vertical="center"/>
      <protection locked="0"/>
    </xf>
    <xf numFmtId="0" fontId="20" fillId="0" borderId="5" xfId="0" applyFont="1" applyFill="1" applyBorder="1" applyAlignment="1" applyProtection="1">
      <alignment horizontal="left" vertical="center" indent="1"/>
      <protection locked="0"/>
    </xf>
    <xf numFmtId="0" fontId="20" fillId="0" borderId="9" xfId="0" applyFont="1" applyFill="1" applyBorder="1" applyAlignment="1" applyProtection="1">
      <alignment horizontal="center" vertical="center"/>
      <protection locked="0"/>
    </xf>
    <xf numFmtId="0" fontId="20" fillId="0" borderId="0" xfId="0" applyFont="1" applyFill="1" applyBorder="1" applyAlignment="1" applyProtection="1">
      <alignment horizontal="center" vertical="center"/>
      <protection locked="0"/>
    </xf>
    <xf numFmtId="0" fontId="20" fillId="0" borderId="10" xfId="0" applyFont="1" applyFill="1" applyBorder="1" applyAlignment="1" applyProtection="1">
      <alignment horizontal="center" vertical="center"/>
      <protection locked="0"/>
    </xf>
    <xf numFmtId="0" fontId="20" fillId="0" borderId="9" xfId="0" applyFont="1" applyFill="1" applyBorder="1" applyProtection="1">
      <alignment vertical="center"/>
      <protection locked="0"/>
    </xf>
    <xf numFmtId="0" fontId="20" fillId="0" borderId="0" xfId="0" applyFont="1" applyFill="1" applyBorder="1" applyProtection="1">
      <alignment vertical="center"/>
      <protection locked="0"/>
    </xf>
    <xf numFmtId="0" fontId="20" fillId="3" borderId="0" xfId="0" applyFont="1" applyFill="1" applyBorder="1" applyProtection="1">
      <alignment vertical="center"/>
      <protection locked="0"/>
    </xf>
    <xf numFmtId="0" fontId="27" fillId="24" borderId="5" xfId="2" applyFont="1" applyFill="1" applyBorder="1" applyAlignment="1" applyProtection="1">
      <alignment horizontal="left" vertical="center" indent="1"/>
      <protection locked="0"/>
    </xf>
    <xf numFmtId="0" fontId="27" fillId="24" borderId="5" xfId="2" applyFont="1" applyFill="1" applyBorder="1" applyAlignment="1" applyProtection="1">
      <alignment horizontal="center" vertical="center"/>
      <protection locked="0"/>
    </xf>
    <xf numFmtId="0" fontId="20" fillId="20" borderId="4" xfId="0" applyFont="1" applyFill="1" applyBorder="1" applyAlignment="1" applyProtection="1">
      <alignment horizontal="center" vertical="center"/>
      <protection hidden="1"/>
    </xf>
    <xf numFmtId="0" fontId="36" fillId="19" borderId="4" xfId="0" applyFont="1" applyFill="1" applyBorder="1" applyAlignment="1" applyProtection="1">
      <alignment horizontal="center" vertical="center"/>
      <protection hidden="1"/>
    </xf>
    <xf numFmtId="0" fontId="20" fillId="23" borderId="4" xfId="0" applyFont="1" applyFill="1" applyBorder="1" applyAlignment="1" applyProtection="1">
      <alignment horizontal="center" vertical="center"/>
      <protection hidden="1"/>
    </xf>
    <xf numFmtId="0" fontId="20" fillId="21" borderId="4" xfId="0" applyFont="1" applyFill="1" applyBorder="1" applyAlignment="1" applyProtection="1">
      <alignment horizontal="center" vertical="center"/>
      <protection hidden="1"/>
    </xf>
    <xf numFmtId="0" fontId="20" fillId="25" borderId="4" xfId="0" applyFont="1" applyFill="1" applyBorder="1" applyAlignment="1" applyProtection="1">
      <alignment horizontal="center" vertical="center"/>
      <protection hidden="1"/>
    </xf>
    <xf numFmtId="0" fontId="27" fillId="13" borderId="5" xfId="0" applyFont="1" applyFill="1" applyBorder="1" applyAlignment="1" applyProtection="1">
      <alignment horizontal="center" vertical="center" wrapText="1"/>
      <protection hidden="1"/>
    </xf>
    <xf numFmtId="0" fontId="28" fillId="17" borderId="5" xfId="1" applyFont="1" applyFill="1" applyBorder="1" applyAlignment="1" applyProtection="1">
      <alignment horizontal="center" vertical="center" wrapText="1"/>
      <protection hidden="1"/>
    </xf>
    <xf numFmtId="0" fontId="30" fillId="14" borderId="5" xfId="0" applyFont="1" applyFill="1" applyBorder="1" applyAlignment="1" applyProtection="1">
      <alignment horizontal="center" vertical="center" wrapText="1"/>
      <protection hidden="1"/>
    </xf>
    <xf numFmtId="0" fontId="30" fillId="22" borderId="5" xfId="0" applyFont="1" applyFill="1" applyBorder="1" applyAlignment="1" applyProtection="1">
      <alignment horizontal="center" vertical="center" wrapText="1"/>
      <protection hidden="1"/>
    </xf>
    <xf numFmtId="0" fontId="30" fillId="26" borderId="5" xfId="0" applyFont="1" applyFill="1" applyBorder="1" applyAlignment="1" applyProtection="1">
      <alignment horizontal="center" vertical="center" wrapText="1"/>
      <protection hidden="1"/>
    </xf>
    <xf numFmtId="0" fontId="20" fillId="20" borderId="5" xfId="0" applyFont="1" applyFill="1" applyBorder="1" applyAlignment="1" applyProtection="1">
      <alignment horizontal="center" vertical="center"/>
      <protection hidden="1"/>
    </xf>
    <xf numFmtId="0" fontId="36" fillId="19" borderId="5" xfId="0" applyFont="1" applyFill="1" applyBorder="1" applyAlignment="1" applyProtection="1">
      <alignment horizontal="center" vertical="center"/>
      <protection hidden="1"/>
    </xf>
    <xf numFmtId="0" fontId="20" fillId="23" borderId="5" xfId="0" applyFont="1" applyFill="1" applyBorder="1" applyAlignment="1" applyProtection="1">
      <alignment horizontal="center" vertical="center"/>
      <protection hidden="1"/>
    </xf>
    <xf numFmtId="0" fontId="20" fillId="21" borderId="5" xfId="0" applyFont="1" applyFill="1" applyBorder="1" applyAlignment="1" applyProtection="1">
      <alignment horizontal="center" vertical="center"/>
      <protection hidden="1"/>
    </xf>
    <xf numFmtId="0" fontId="20" fillId="25" borderId="5" xfId="0" applyFont="1" applyFill="1" applyBorder="1" applyAlignment="1" applyProtection="1">
      <alignment horizontal="center" vertical="center"/>
      <protection hidden="1"/>
    </xf>
    <xf numFmtId="0" fontId="3" fillId="8" borderId="20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8" borderId="4" xfId="0" applyFont="1" applyFill="1" applyBorder="1" applyProtection="1">
      <alignment vertical="center"/>
      <protection locked="0"/>
    </xf>
    <xf numFmtId="49" fontId="3" fillId="14" borderId="20" xfId="0" applyNumberFormat="1" applyFont="1" applyFill="1" applyBorder="1" applyAlignment="1" applyProtection="1">
      <alignment horizontal="center" vertical="center"/>
      <protection locked="0"/>
    </xf>
    <xf numFmtId="49" fontId="5" fillId="2" borderId="21" xfId="0" applyNumberFormat="1" applyFont="1" applyFill="1" applyBorder="1" applyAlignment="1" applyProtection="1">
      <alignment horizontal="center" vertical="center"/>
      <protection locked="0"/>
    </xf>
    <xf numFmtId="49" fontId="19" fillId="4" borderId="20" xfId="0" applyNumberFormat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0" xfId="0" applyAlignment="1" applyProtection="1">
      <alignment vertical="top"/>
    </xf>
    <xf numFmtId="0" fontId="3" fillId="0" borderId="0" xfId="0" applyFont="1" applyProtection="1">
      <alignment vertical="center"/>
    </xf>
    <xf numFmtId="0" fontId="4" fillId="0" borderId="0" xfId="0" applyNumberFormat="1" applyFont="1" applyFill="1" applyBorder="1" applyAlignment="1" applyProtection="1">
      <alignment vertical="top" wrapText="1"/>
    </xf>
    <xf numFmtId="0" fontId="15" fillId="12" borderId="11" xfId="0" applyFont="1" applyFill="1" applyBorder="1" applyProtection="1">
      <alignment vertical="center"/>
    </xf>
    <xf numFmtId="0" fontId="15" fillId="12" borderId="12" xfId="0" applyFont="1" applyFill="1" applyBorder="1" applyProtection="1">
      <alignment vertical="center"/>
    </xf>
    <xf numFmtId="0" fontId="15" fillId="12" borderId="13" xfId="0" applyFont="1" applyFill="1" applyBorder="1" applyProtection="1">
      <alignment vertical="center"/>
    </xf>
    <xf numFmtId="0" fontId="15" fillId="12" borderId="14" xfId="0" applyFont="1" applyFill="1" applyBorder="1" applyProtection="1">
      <alignment vertical="center"/>
    </xf>
    <xf numFmtId="0" fontId="15" fillId="12" borderId="15" xfId="0" applyFont="1" applyFill="1" applyBorder="1" applyProtection="1">
      <alignment vertical="center"/>
    </xf>
    <xf numFmtId="0" fontId="15" fillId="12" borderId="16" xfId="0" applyFont="1" applyFill="1" applyBorder="1" applyProtection="1">
      <alignment vertical="center"/>
    </xf>
    <xf numFmtId="0" fontId="0" fillId="0" borderId="0" xfId="0" applyFill="1" applyProtection="1">
      <alignment vertical="center"/>
    </xf>
    <xf numFmtId="14" fontId="20" fillId="0" borderId="4" xfId="0" applyNumberFormat="1" applyFont="1" applyFill="1" applyBorder="1" applyAlignment="1" applyProtection="1">
      <alignment horizontal="center" vertical="center"/>
      <protection locked="0"/>
    </xf>
    <xf numFmtId="14" fontId="31" fillId="10" borderId="5" xfId="1" applyNumberFormat="1" applyFont="1" applyBorder="1" applyAlignment="1" applyProtection="1">
      <alignment horizontal="center" vertical="center" wrapText="1"/>
      <protection locked="0"/>
    </xf>
    <xf numFmtId="14" fontId="20" fillId="0" borderId="5" xfId="0" applyNumberFormat="1" applyFont="1" applyFill="1" applyBorder="1" applyAlignment="1" applyProtection="1">
      <alignment horizontal="center" vertical="center"/>
      <protection locked="0"/>
    </xf>
    <xf numFmtId="0" fontId="26" fillId="18" borderId="0" xfId="0" applyFont="1" applyFill="1" applyBorder="1" applyAlignment="1" applyProtection="1">
      <alignment horizontal="center" vertical="center"/>
    </xf>
    <xf numFmtId="0" fontId="20" fillId="3" borderId="0" xfId="0" applyFont="1" applyFill="1" applyBorder="1" applyProtection="1">
      <alignment vertical="center"/>
    </xf>
    <xf numFmtId="0" fontId="22" fillId="27" borderId="20" xfId="0" applyFont="1" applyFill="1" applyBorder="1" applyAlignment="1">
      <alignment horizontal="center" vertical="center" wrapText="1"/>
    </xf>
    <xf numFmtId="0" fontId="21" fillId="27" borderId="0" xfId="0" applyFont="1" applyFill="1">
      <alignment vertical="center"/>
    </xf>
    <xf numFmtId="0" fontId="21" fillId="0" borderId="0" xfId="0" applyFont="1" applyFill="1">
      <alignment vertical="center"/>
    </xf>
    <xf numFmtId="0" fontId="21" fillId="0" borderId="0" xfId="0" applyFont="1" applyFill="1" applyAlignment="1">
      <alignment horizontal="left" vertical="center" indent="2"/>
    </xf>
    <xf numFmtId="0" fontId="21" fillId="0" borderId="0" xfId="0" applyFont="1" applyFill="1" applyAlignment="1">
      <alignment horizontal="left" vertical="center" indent="4"/>
    </xf>
    <xf numFmtId="0" fontId="21" fillId="0" borderId="0" xfId="0" applyFont="1" applyFill="1" applyAlignment="1">
      <alignment horizontal="left" vertical="center" indent="3"/>
    </xf>
    <xf numFmtId="0" fontId="21" fillId="0" borderId="0" xfId="0" applyFont="1" applyFill="1" applyAlignment="1">
      <alignment horizontal="left" vertical="center" indent="6"/>
    </xf>
    <xf numFmtId="0" fontId="21" fillId="0" borderId="0" xfId="0" applyFont="1" applyFill="1" applyAlignment="1">
      <alignment horizontal="left" vertical="center" indent="5"/>
    </xf>
    <xf numFmtId="0" fontId="37" fillId="0" borderId="0" xfId="0" applyFont="1" applyFill="1">
      <alignment vertical="center"/>
    </xf>
    <xf numFmtId="0" fontId="38" fillId="0" borderId="0" xfId="0" applyFont="1" applyFill="1" applyAlignment="1">
      <alignment horizontal="left" vertical="center" indent="2"/>
    </xf>
    <xf numFmtId="0" fontId="39" fillId="0" borderId="0" xfId="0" applyFont="1" applyFill="1" applyAlignment="1">
      <alignment horizontal="left" vertical="center" indent="2"/>
    </xf>
    <xf numFmtId="0" fontId="39" fillId="0" borderId="0" xfId="0" applyFont="1" applyFill="1" applyAlignment="1">
      <alignment horizontal="left" vertical="center" indent="4"/>
    </xf>
    <xf numFmtId="0" fontId="41" fillId="0" borderId="0" xfId="0" applyFont="1" applyFill="1">
      <alignment vertical="center"/>
    </xf>
    <xf numFmtId="0" fontId="37" fillId="0" borderId="0" xfId="0" applyFont="1" applyFill="1" applyAlignment="1">
      <alignment horizontal="left" vertical="center" indent="3"/>
    </xf>
    <xf numFmtId="0" fontId="42" fillId="0" borderId="0" xfId="0" applyFont="1" applyFill="1" applyAlignment="1">
      <alignment horizontal="left" vertical="center" indent="3"/>
    </xf>
    <xf numFmtId="0" fontId="20" fillId="0" borderId="9" xfId="0" applyFont="1" applyFill="1" applyBorder="1" applyAlignment="1" applyProtection="1">
      <alignment horizontal="left" vertical="center" indent="1"/>
      <protection locked="0"/>
    </xf>
    <xf numFmtId="0" fontId="3" fillId="0" borderId="0" xfId="0" applyFont="1" applyBorder="1" applyAlignment="1" applyProtection="1">
      <alignment vertical="center" wrapText="1"/>
      <protection locked="0"/>
    </xf>
    <xf numFmtId="0" fontId="3" fillId="0" borderId="0" xfId="0" applyFont="1" applyBorder="1" applyAlignment="1" applyProtection="1">
      <alignment wrapText="1"/>
      <protection locked="0"/>
    </xf>
    <xf numFmtId="0" fontId="44" fillId="0" borderId="0" xfId="0" applyFont="1" applyFill="1" applyProtection="1">
      <alignment vertical="center"/>
      <protection locked="0"/>
    </xf>
    <xf numFmtId="0" fontId="20" fillId="0" borderId="10" xfId="0" applyFont="1" applyFill="1" applyBorder="1" applyAlignment="1" applyProtection="1">
      <alignment horizontal="left" vertical="center" indent="1"/>
      <protection locked="0"/>
    </xf>
    <xf numFmtId="0" fontId="3" fillId="0" borderId="5" xfId="0" applyFont="1" applyBorder="1" applyAlignment="1" applyProtection="1">
      <alignment vertical="center" wrapText="1"/>
      <protection locked="0"/>
    </xf>
    <xf numFmtId="0" fontId="3" fillId="0" borderId="5" xfId="0" applyFont="1" applyBorder="1" applyAlignment="1" applyProtection="1">
      <alignment vertical="center"/>
      <protection locked="0"/>
    </xf>
    <xf numFmtId="0" fontId="2" fillId="0" borderId="0" xfId="0" applyFont="1" applyFill="1" applyAlignment="1">
      <alignment horizontal="left" vertical="center"/>
    </xf>
    <xf numFmtId="0" fontId="2" fillId="0" borderId="0" xfId="0" applyFont="1" applyFill="1" applyAlignment="1" applyProtection="1">
      <alignment horizontal="left" vertical="center"/>
      <protection locked="0"/>
    </xf>
    <xf numFmtId="0" fontId="3" fillId="0" borderId="0" xfId="0" applyFont="1" applyFill="1" applyAlignment="1" applyProtection="1">
      <alignment horizontal="left" vertical="center"/>
      <protection locked="0"/>
    </xf>
    <xf numFmtId="0" fontId="3" fillId="0" borderId="0" xfId="0" applyFont="1" applyFill="1" applyBorder="1" applyAlignment="1" applyProtection="1">
      <alignment horizontal="left" vertical="center"/>
      <protection locked="0"/>
    </xf>
    <xf numFmtId="0" fontId="3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left" wrapText="1"/>
    </xf>
    <xf numFmtId="0" fontId="3" fillId="0" borderId="0" xfId="0" applyFont="1" applyBorder="1" applyAlignment="1">
      <alignment horizontal="left" vertical="center"/>
    </xf>
    <xf numFmtId="0" fontId="25" fillId="0" borderId="0" xfId="0" applyFont="1" applyFill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45" fillId="0" borderId="0" xfId="0" applyFont="1" applyBorder="1" applyAlignment="1" applyProtection="1">
      <alignment horizontal="left" vertical="center"/>
      <protection locked="0"/>
    </xf>
    <xf numFmtId="0" fontId="3" fillId="0" borderId="0" xfId="0" applyFont="1" applyBorder="1" applyAlignment="1" applyProtection="1">
      <alignment horizontal="left" vertical="center"/>
      <protection locked="0"/>
    </xf>
    <xf numFmtId="18" fontId="35" fillId="5" borderId="9" xfId="0" applyNumberFormat="1" applyFont="1" applyFill="1" applyBorder="1" applyAlignment="1" applyProtection="1">
      <alignment horizontal="center" vertical="center"/>
      <protection locked="0"/>
    </xf>
    <xf numFmtId="0" fontId="35" fillId="5" borderId="0" xfId="0" applyFont="1" applyFill="1" applyBorder="1" applyAlignment="1" applyProtection="1">
      <alignment horizontal="center" vertical="center"/>
      <protection locked="0"/>
    </xf>
    <xf numFmtId="0" fontId="35" fillId="5" borderId="10" xfId="0" applyFont="1" applyFill="1" applyBorder="1" applyAlignment="1" applyProtection="1">
      <alignment horizontal="center" vertical="center"/>
      <protection locked="0"/>
    </xf>
    <xf numFmtId="18" fontId="35" fillId="6" borderId="9" xfId="0" applyNumberFormat="1" applyFont="1" applyFill="1" applyBorder="1" applyAlignment="1" applyProtection="1">
      <alignment horizontal="center" vertical="center"/>
      <protection locked="0"/>
    </xf>
    <xf numFmtId="0" fontId="35" fillId="6" borderId="0" xfId="0" applyFont="1" applyFill="1" applyBorder="1" applyAlignment="1" applyProtection="1">
      <alignment horizontal="center" vertical="center"/>
      <protection locked="0"/>
    </xf>
    <xf numFmtId="0" fontId="35" fillId="6" borderId="10" xfId="0" applyFont="1" applyFill="1" applyBorder="1" applyAlignment="1" applyProtection="1">
      <alignment horizontal="center" vertical="center"/>
      <protection locked="0"/>
    </xf>
    <xf numFmtId="18" fontId="30" fillId="18" borderId="0" xfId="0" applyNumberFormat="1" applyFont="1" applyFill="1" applyBorder="1" applyAlignment="1" applyProtection="1">
      <alignment horizontal="center" vertical="center"/>
    </xf>
    <xf numFmtId="0" fontId="30" fillId="18" borderId="0" xfId="0" applyFont="1" applyFill="1" applyBorder="1" applyAlignment="1" applyProtection="1">
      <alignment horizontal="center" vertical="center"/>
    </xf>
    <xf numFmtId="18" fontId="35" fillId="7" borderId="9" xfId="0" applyNumberFormat="1" applyFont="1" applyFill="1" applyBorder="1" applyAlignment="1" applyProtection="1">
      <alignment horizontal="center" vertical="center"/>
      <protection locked="0"/>
    </xf>
    <xf numFmtId="0" fontId="35" fillId="7" borderId="0" xfId="0" applyFont="1" applyFill="1" applyBorder="1" applyAlignment="1" applyProtection="1">
      <alignment horizontal="center" vertical="center"/>
      <protection locked="0"/>
    </xf>
    <xf numFmtId="0" fontId="35" fillId="7" borderId="10" xfId="0" applyFont="1" applyFill="1" applyBorder="1" applyAlignment="1" applyProtection="1">
      <alignment horizontal="center" vertical="center"/>
      <protection locked="0"/>
    </xf>
    <xf numFmtId="18" fontId="30" fillId="18" borderId="9" xfId="0" applyNumberFormat="1" applyFont="1" applyFill="1" applyBorder="1" applyAlignment="1" applyProtection="1">
      <alignment horizontal="center" vertical="center"/>
    </xf>
    <xf numFmtId="18" fontId="30" fillId="18" borderId="10" xfId="0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64" fontId="6" fillId="4" borderId="20" xfId="0" applyNumberFormat="1" applyFont="1" applyFill="1" applyBorder="1" applyAlignment="1" applyProtection="1">
      <alignment horizontal="left" vertical="center"/>
      <protection locked="0"/>
    </xf>
    <xf numFmtId="0" fontId="0" fillId="0" borderId="4" xfId="0" quotePrefix="1" applyBorder="1" applyAlignment="1" applyProtection="1">
      <alignment horizontal="left" vertical="top" wrapText="1"/>
      <protection locked="0"/>
    </xf>
    <xf numFmtId="0" fontId="0" fillId="0" borderId="5" xfId="0" quotePrefix="1" applyBorder="1" applyAlignment="1" applyProtection="1">
      <alignment horizontal="left" vertical="top" wrapText="1"/>
      <protection locked="0"/>
    </xf>
    <xf numFmtId="0" fontId="0" fillId="0" borderId="22" xfId="0" quotePrefix="1" applyBorder="1" applyAlignment="1" applyProtection="1">
      <alignment horizontal="left" vertical="top" wrapText="1"/>
      <protection locked="0"/>
    </xf>
    <xf numFmtId="0" fontId="0" fillId="0" borderId="4" xfId="0" quotePrefix="1" applyBorder="1" applyAlignment="1" applyProtection="1">
      <alignment horizontal="left" vertical="top"/>
      <protection locked="0"/>
    </xf>
    <xf numFmtId="0" fontId="0" fillId="0" borderId="5" xfId="0" quotePrefix="1" applyBorder="1" applyAlignment="1" applyProtection="1">
      <alignment horizontal="left" vertical="top"/>
      <protection locked="0"/>
    </xf>
    <xf numFmtId="0" fontId="0" fillId="0" borderId="22" xfId="0" quotePrefix="1" applyBorder="1" applyAlignment="1" applyProtection="1">
      <alignment horizontal="left" vertical="top"/>
      <protection locked="0"/>
    </xf>
    <xf numFmtId="0" fontId="4" fillId="3" borderId="20" xfId="0" applyNumberFormat="1" applyFont="1" applyFill="1" applyBorder="1" applyAlignment="1" applyProtection="1">
      <alignment horizontal="left" vertical="top" wrapText="1"/>
      <protection hidden="1"/>
    </xf>
    <xf numFmtId="0" fontId="0" fillId="0" borderId="0" xfId="0" applyFill="1">
      <alignment vertical="center"/>
    </xf>
  </cellXfs>
  <cellStyles count="4">
    <cellStyle name="Good" xfId="1" builtinId="26"/>
    <cellStyle name="Neutral" xfId="2" builtinId="28"/>
    <cellStyle name="Normal" xfId="0" builtinId="0"/>
    <cellStyle name="Normal 2" xfId="3"/>
  </cellStyles>
  <dxfs count="28">
    <dxf>
      <font>
        <strike val="0"/>
        <outline val="0"/>
        <shadow val="0"/>
        <u val="none"/>
        <vertAlign val="baseline"/>
        <color theme="1"/>
        <name val="Tahoma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Tahoma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Tahoma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Tahoma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ahom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none"/>
      </font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>
          <bgColor theme="5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 patternType="darkGray">
          <fgColor theme="9" tint="0.39988402966399123"/>
          <bgColor theme="9" tint="0.3999450666829432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>
          <bgColor theme="2" tint="-0.24994659260841701"/>
        </patternFill>
      </fill>
    </dxf>
  </dxfs>
  <tableStyles count="0" defaultTableStyle="TableStyleMedium2" defaultPivotStyle="PivotStyleLight16"/>
  <colors>
    <mruColors>
      <color rgb="FFF89AF8"/>
      <color rgb="FFFF6699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285750</xdr:colOff>
      <xdr:row>16</xdr:row>
      <xdr:rowOff>142875</xdr:rowOff>
    </xdr:from>
    <xdr:to>
      <xdr:col>12</xdr:col>
      <xdr:colOff>67866</xdr:colOff>
      <xdr:row>20</xdr:row>
      <xdr:rowOff>19166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E5DCBEB7-F8ED-4903-A279-E937301DA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4448175"/>
          <a:ext cx="8535591" cy="828791"/>
        </a:xfrm>
        <a:prstGeom prst="rect">
          <a:avLst/>
        </a:prstGeom>
      </xdr:spPr>
    </xdr:pic>
    <xdr:clientData/>
  </xdr:twoCellAnchor>
  <xdr:twoCellAnchor>
    <xdr:from>
      <xdr:col>2</xdr:col>
      <xdr:colOff>400050</xdr:colOff>
      <xdr:row>18</xdr:row>
      <xdr:rowOff>0</xdr:rowOff>
    </xdr:from>
    <xdr:to>
      <xdr:col>5</xdr:col>
      <xdr:colOff>57150</xdr:colOff>
      <xdr:row>19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06F63D7B-790F-47DD-A63D-8B1CA6E60CBD}"/>
            </a:ext>
          </a:extLst>
        </xdr:cNvPr>
        <xdr:cNvSpPr/>
      </xdr:nvSpPr>
      <xdr:spPr>
        <a:xfrm>
          <a:off x="2028825" y="4781550"/>
          <a:ext cx="2600325" cy="2667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323850</xdr:colOff>
      <xdr:row>26</xdr:row>
      <xdr:rowOff>133350</xdr:rowOff>
    </xdr:from>
    <xdr:to>
      <xdr:col>6</xdr:col>
      <xdr:colOff>1086560</xdr:colOff>
      <xdr:row>33</xdr:row>
      <xdr:rowOff>152666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xmlns="" id="{5424DDAA-13F4-4740-9F6F-108CD852AFA1}"/>
            </a:ext>
          </a:extLst>
        </xdr:cNvPr>
        <xdr:cNvGrpSpPr/>
      </xdr:nvGrpSpPr>
      <xdr:grpSpPr>
        <a:xfrm>
          <a:off x="1952625" y="7067550"/>
          <a:ext cx="5087060" cy="1905266"/>
          <a:chOff x="1971675" y="6553200"/>
          <a:chExt cx="5087060" cy="190526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xmlns="" id="{40A2B491-F050-4FF3-9FFF-1A817A7EF5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971675" y="6553200"/>
            <a:ext cx="5087060" cy="1905266"/>
          </a:xfrm>
          <a:prstGeom prst="rect">
            <a:avLst/>
          </a:prstGeom>
        </xdr:spPr>
      </xdr:pic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xmlns="" id="{498BB8DD-D60B-4E72-9BF4-6B23FE261675}"/>
              </a:ext>
            </a:extLst>
          </xdr:cNvPr>
          <xdr:cNvSpPr/>
        </xdr:nvSpPr>
        <xdr:spPr>
          <a:xfrm>
            <a:off x="3381375" y="8086724"/>
            <a:ext cx="942975" cy="29527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8</xdr:col>
      <xdr:colOff>133349</xdr:colOff>
      <xdr:row>26</xdr:row>
      <xdr:rowOff>228599</xdr:rowOff>
    </xdr:from>
    <xdr:to>
      <xdr:col>18</xdr:col>
      <xdr:colOff>172318</xdr:colOff>
      <xdr:row>33</xdr:row>
      <xdr:rowOff>171788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xmlns="" id="{10429E62-1E1D-43E0-9D38-86EC0F20F2E9}"/>
            </a:ext>
          </a:extLst>
        </xdr:cNvPr>
        <xdr:cNvGrpSpPr/>
      </xdr:nvGrpSpPr>
      <xdr:grpSpPr>
        <a:xfrm>
          <a:off x="8077199" y="7162799"/>
          <a:ext cx="6134969" cy="1829139"/>
          <a:chOff x="8667749" y="7153274"/>
          <a:chExt cx="6134969" cy="1829139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xmlns="" id="{85496D31-D711-4A92-A9F5-FE0588D5DF4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/>
          <a:srcRect l="1528" t="24702"/>
          <a:stretch/>
        </xdr:blipFill>
        <xdr:spPr>
          <a:xfrm>
            <a:off x="8667749" y="7153274"/>
            <a:ext cx="6134969" cy="1829139"/>
          </a:xfrm>
          <a:prstGeom prst="rect">
            <a:avLst/>
          </a:prstGeom>
        </xdr:spPr>
      </xdr:pic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xmlns="" id="{C70C758D-551C-4D61-8C68-63A51DD28A3E}"/>
              </a:ext>
            </a:extLst>
          </xdr:cNvPr>
          <xdr:cNvSpPr/>
        </xdr:nvSpPr>
        <xdr:spPr>
          <a:xfrm>
            <a:off x="10163175" y="8572499"/>
            <a:ext cx="942975" cy="29527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333375</xdr:colOff>
      <xdr:row>47</xdr:row>
      <xdr:rowOff>161925</xdr:rowOff>
    </xdr:from>
    <xdr:to>
      <xdr:col>16</xdr:col>
      <xdr:colOff>496885</xdr:colOff>
      <xdr:row>56</xdr:row>
      <xdr:rowOff>219382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xmlns="" id="{42BDA590-C5A6-4B8D-8B16-F4EF0110D0D0}"/>
            </a:ext>
          </a:extLst>
        </xdr:cNvPr>
        <xdr:cNvGrpSpPr/>
      </xdr:nvGrpSpPr>
      <xdr:grpSpPr>
        <a:xfrm>
          <a:off x="1962150" y="12544425"/>
          <a:ext cx="11355385" cy="2200582"/>
          <a:chOff x="1962150" y="12287250"/>
          <a:chExt cx="11355385" cy="2200582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xmlns="" id="{2BFFA9C0-17B7-4B6A-9569-BDD9CF0CEE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962150" y="12287250"/>
            <a:ext cx="11355385" cy="2200582"/>
          </a:xfrm>
          <a:prstGeom prst="rect">
            <a:avLst/>
          </a:prstGeom>
        </xdr:spPr>
      </xdr:pic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xmlns="" id="{C2F6C296-B6C8-4D7C-9A7F-9F52B19F9CFA}"/>
              </a:ext>
            </a:extLst>
          </xdr:cNvPr>
          <xdr:cNvSpPr/>
        </xdr:nvSpPr>
        <xdr:spPr>
          <a:xfrm>
            <a:off x="3124200" y="12382500"/>
            <a:ext cx="1085850" cy="23812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xmlns="" id="{B6E7586F-C266-4E65-A34B-9E18777A8B28}"/>
              </a:ext>
            </a:extLst>
          </xdr:cNvPr>
          <xdr:cNvSpPr/>
        </xdr:nvSpPr>
        <xdr:spPr>
          <a:xfrm>
            <a:off x="3114675" y="12858750"/>
            <a:ext cx="1085850" cy="23812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295275</xdr:colOff>
      <xdr:row>35</xdr:row>
      <xdr:rowOff>171450</xdr:rowOff>
    </xdr:from>
    <xdr:to>
      <xdr:col>16</xdr:col>
      <xdr:colOff>353995</xdr:colOff>
      <xdr:row>45</xdr:row>
      <xdr:rowOff>114624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xmlns="" id="{0EB666F4-5265-41EB-804E-A0E82C97C95B}"/>
            </a:ext>
          </a:extLst>
        </xdr:cNvPr>
        <xdr:cNvGrpSpPr/>
      </xdr:nvGrpSpPr>
      <xdr:grpSpPr>
        <a:xfrm>
          <a:off x="1924050" y="9696450"/>
          <a:ext cx="11250595" cy="2324424"/>
          <a:chOff x="1924050" y="9439275"/>
          <a:chExt cx="11250595" cy="2324424"/>
        </a:xfrm>
      </xdr:grpSpPr>
      <xdr:pic>
        <xdr:nvPicPr>
          <xdr:cNvPr id="11" name="Picture 10">
            <a:extLst>
              <a:ext uri="{FF2B5EF4-FFF2-40B4-BE49-F238E27FC236}">
                <a16:creationId xmlns:a16="http://schemas.microsoft.com/office/drawing/2014/main" xmlns="" id="{5F827D19-3A5A-42FE-98E1-25264C8DB7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924050" y="9439275"/>
            <a:ext cx="11250595" cy="2324424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xmlns="" id="{0017A608-BB65-410C-A832-46E2CC3B9B1F}"/>
              </a:ext>
            </a:extLst>
          </xdr:cNvPr>
          <xdr:cNvSpPr/>
        </xdr:nvSpPr>
        <xdr:spPr>
          <a:xfrm>
            <a:off x="3067050" y="9553575"/>
            <a:ext cx="1085850" cy="23812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xmlns="" id="{016FBDDD-2ED6-4421-9E3D-ABE3B0EFC844}"/>
              </a:ext>
            </a:extLst>
          </xdr:cNvPr>
          <xdr:cNvSpPr/>
        </xdr:nvSpPr>
        <xdr:spPr>
          <a:xfrm>
            <a:off x="3048000" y="10029825"/>
            <a:ext cx="1085850" cy="23812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1200150</xdr:colOff>
      <xdr:row>32</xdr:row>
      <xdr:rowOff>314325</xdr:rowOff>
    </xdr:from>
    <xdr:to>
      <xdr:col>10</xdr:col>
      <xdr:colOff>333375</xdr:colOff>
      <xdr:row>33</xdr:row>
      <xdr:rowOff>19050</xdr:rowOff>
    </xdr:to>
    <xdr:sp macro="" textlink="">
      <xdr:nvSpPr>
        <xdr:cNvPr id="19" name="Arrow: Right 18">
          <a:extLst>
            <a:ext uri="{FF2B5EF4-FFF2-40B4-BE49-F238E27FC236}">
              <a16:creationId xmlns:a16="http://schemas.microsoft.com/office/drawing/2014/main" xmlns="" id="{065F921E-C94E-4714-866F-FC4445E9F6CC}"/>
            </a:ext>
          </a:extLst>
        </xdr:cNvPr>
        <xdr:cNvSpPr/>
      </xdr:nvSpPr>
      <xdr:spPr>
        <a:xfrm>
          <a:off x="4391025" y="8429625"/>
          <a:ext cx="5105400" cy="161925"/>
        </a:xfrm>
        <a:prstGeom prst="rightArrow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39</xdr:row>
      <xdr:rowOff>142875</xdr:rowOff>
    </xdr:from>
    <xdr:to>
      <xdr:col>4</xdr:col>
      <xdr:colOff>428625</xdr:colOff>
      <xdr:row>47</xdr:row>
      <xdr:rowOff>171450</xdr:rowOff>
    </xdr:to>
    <xdr:sp macro="" textlink="">
      <xdr:nvSpPr>
        <xdr:cNvPr id="20" name="Arrow: Down 19">
          <a:extLst>
            <a:ext uri="{FF2B5EF4-FFF2-40B4-BE49-F238E27FC236}">
              <a16:creationId xmlns:a16="http://schemas.microsoft.com/office/drawing/2014/main" xmlns="" id="{8D5D74CD-7656-4311-820D-4E10FBBDA84D}"/>
            </a:ext>
          </a:extLst>
        </xdr:cNvPr>
        <xdr:cNvSpPr/>
      </xdr:nvSpPr>
      <xdr:spPr>
        <a:xfrm>
          <a:off x="3419475" y="10363200"/>
          <a:ext cx="200025" cy="1933575"/>
        </a:xfrm>
        <a:prstGeom prst="downArrow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571500</xdr:colOff>
      <xdr:row>73</xdr:row>
      <xdr:rowOff>114300</xdr:rowOff>
    </xdr:from>
    <xdr:to>
      <xdr:col>10</xdr:col>
      <xdr:colOff>144060</xdr:colOff>
      <xdr:row>77</xdr:row>
      <xdr:rowOff>85854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xmlns="" id="{08258120-4D6C-44CB-8BE3-7841E0B55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19150" y="16525875"/>
          <a:ext cx="8487960" cy="924054"/>
        </a:xfrm>
        <a:prstGeom prst="rect">
          <a:avLst/>
        </a:prstGeom>
      </xdr:spPr>
    </xdr:pic>
    <xdr:clientData/>
  </xdr:twoCellAnchor>
  <xdr:twoCellAnchor editAs="oneCell">
    <xdr:from>
      <xdr:col>1</xdr:col>
      <xdr:colOff>619125</xdr:colOff>
      <xdr:row>78</xdr:row>
      <xdr:rowOff>209550</xdr:rowOff>
    </xdr:from>
    <xdr:to>
      <xdr:col>10</xdr:col>
      <xdr:colOff>458422</xdr:colOff>
      <xdr:row>83</xdr:row>
      <xdr:rowOff>47769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xmlns="" id="{1FB2BE94-18A5-4438-890A-1F82484FF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66775" y="17811750"/>
          <a:ext cx="8754697" cy="1028844"/>
        </a:xfrm>
        <a:prstGeom prst="rect">
          <a:avLst/>
        </a:prstGeom>
      </xdr:spPr>
    </xdr:pic>
    <xdr:clientData/>
  </xdr:twoCellAnchor>
  <xdr:twoCellAnchor>
    <xdr:from>
      <xdr:col>1</xdr:col>
      <xdr:colOff>733425</xdr:colOff>
      <xdr:row>74</xdr:row>
      <xdr:rowOff>200025</xdr:rowOff>
    </xdr:from>
    <xdr:to>
      <xdr:col>4</xdr:col>
      <xdr:colOff>495300</xdr:colOff>
      <xdr:row>75</xdr:row>
      <xdr:rowOff>219075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xmlns="" id="{093CED15-3B43-4FBF-8156-A3A8C35600C3}"/>
            </a:ext>
          </a:extLst>
        </xdr:cNvPr>
        <xdr:cNvSpPr/>
      </xdr:nvSpPr>
      <xdr:spPr>
        <a:xfrm>
          <a:off x="981075" y="16849725"/>
          <a:ext cx="270510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742950</xdr:colOff>
      <xdr:row>79</xdr:row>
      <xdr:rowOff>171450</xdr:rowOff>
    </xdr:from>
    <xdr:to>
      <xdr:col>4</xdr:col>
      <xdr:colOff>85725</xdr:colOff>
      <xdr:row>80</xdr:row>
      <xdr:rowOff>200025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xmlns="" id="{9EBB2D04-1493-49DB-994B-05B4AB18895A}"/>
            </a:ext>
          </a:extLst>
        </xdr:cNvPr>
        <xdr:cNvSpPr/>
      </xdr:nvSpPr>
      <xdr:spPr>
        <a:xfrm>
          <a:off x="990600" y="18011775"/>
          <a:ext cx="2286000" cy="2667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171450</xdr:colOff>
      <xdr:row>76</xdr:row>
      <xdr:rowOff>228600</xdr:rowOff>
    </xdr:from>
    <xdr:to>
      <xdr:col>2</xdr:col>
      <xdr:colOff>381000</xdr:colOff>
      <xdr:row>79</xdr:row>
      <xdr:rowOff>85725</xdr:rowOff>
    </xdr:to>
    <xdr:sp macro="" textlink="">
      <xdr:nvSpPr>
        <xdr:cNvPr id="25" name="Arrow: Down 24">
          <a:extLst>
            <a:ext uri="{FF2B5EF4-FFF2-40B4-BE49-F238E27FC236}">
              <a16:creationId xmlns:a16="http://schemas.microsoft.com/office/drawing/2014/main" xmlns="" id="{9732056B-247C-44CF-9C12-EFDBDE6AAC59}"/>
            </a:ext>
          </a:extLst>
        </xdr:cNvPr>
        <xdr:cNvSpPr/>
      </xdr:nvSpPr>
      <xdr:spPr>
        <a:xfrm>
          <a:off x="1800225" y="17354550"/>
          <a:ext cx="209550" cy="571500"/>
        </a:xfrm>
        <a:prstGeom prst="downArrow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533400</xdr:colOff>
      <xdr:row>88</xdr:row>
      <xdr:rowOff>114300</xdr:rowOff>
    </xdr:from>
    <xdr:to>
      <xdr:col>19</xdr:col>
      <xdr:colOff>221041</xdr:colOff>
      <xdr:row>92</xdr:row>
      <xdr:rowOff>28696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xmlns="" id="{69A044A4-1E0C-46F9-A9A8-1C559B16D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81050" y="20097750"/>
          <a:ext cx="14089441" cy="866896"/>
        </a:xfrm>
        <a:prstGeom prst="rect">
          <a:avLst/>
        </a:prstGeom>
      </xdr:spPr>
    </xdr:pic>
    <xdr:clientData/>
  </xdr:twoCellAnchor>
  <xdr:twoCellAnchor>
    <xdr:from>
      <xdr:col>1</xdr:col>
      <xdr:colOff>609600</xdr:colOff>
      <xdr:row>88</xdr:row>
      <xdr:rowOff>152400</xdr:rowOff>
    </xdr:from>
    <xdr:to>
      <xdr:col>10</xdr:col>
      <xdr:colOff>400050</xdr:colOff>
      <xdr:row>90</xdr:row>
      <xdr:rowOff>209550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xmlns="" id="{3BD89FA3-1A67-46B3-8657-D82F8D1C0C5C}"/>
            </a:ext>
          </a:extLst>
        </xdr:cNvPr>
        <xdr:cNvSpPr/>
      </xdr:nvSpPr>
      <xdr:spPr>
        <a:xfrm>
          <a:off x="857250" y="20135850"/>
          <a:ext cx="8705850" cy="5334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266700</xdr:colOff>
      <xdr:row>88</xdr:row>
      <xdr:rowOff>123825</xdr:rowOff>
    </xdr:from>
    <xdr:to>
      <xdr:col>19</xdr:col>
      <xdr:colOff>180975</xdr:colOff>
      <xdr:row>90</xdr:row>
      <xdr:rowOff>219075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xmlns="" id="{060F3C7D-5DA7-476C-BB93-83987FC4920A}"/>
            </a:ext>
          </a:extLst>
        </xdr:cNvPr>
        <xdr:cNvSpPr/>
      </xdr:nvSpPr>
      <xdr:spPr>
        <a:xfrm>
          <a:off x="13696950" y="20107275"/>
          <a:ext cx="1133475" cy="5715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247650</xdr:colOff>
      <xdr:row>59</xdr:row>
      <xdr:rowOff>171450</xdr:rowOff>
    </xdr:from>
    <xdr:to>
      <xdr:col>14</xdr:col>
      <xdr:colOff>430042</xdr:colOff>
      <xdr:row>62</xdr:row>
      <xdr:rowOff>85813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xmlns="" id="{22DDE4DD-A34F-41A5-98F9-CA04300C79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6425" y="15392400"/>
          <a:ext cx="10155067" cy="628738"/>
        </a:xfrm>
        <a:prstGeom prst="rect">
          <a:avLst/>
        </a:prstGeom>
      </xdr:spPr>
    </xdr:pic>
    <xdr:clientData/>
  </xdr:twoCellAnchor>
  <xdr:twoCellAnchor editAs="oneCell">
    <xdr:from>
      <xdr:col>2</xdr:col>
      <xdr:colOff>323850</xdr:colOff>
      <xdr:row>64</xdr:row>
      <xdr:rowOff>66675</xdr:rowOff>
    </xdr:from>
    <xdr:to>
      <xdr:col>14</xdr:col>
      <xdr:colOff>391926</xdr:colOff>
      <xdr:row>66</xdr:row>
      <xdr:rowOff>66741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xmlns="" id="{5CF372CD-591B-45D3-984D-A38611EAD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52625" y="16478250"/>
          <a:ext cx="10040751" cy="476316"/>
        </a:xfrm>
        <a:prstGeom prst="rect">
          <a:avLst/>
        </a:prstGeom>
      </xdr:spPr>
    </xdr:pic>
    <xdr:clientData/>
  </xdr:twoCellAnchor>
  <xdr:twoCellAnchor>
    <xdr:from>
      <xdr:col>8</xdr:col>
      <xdr:colOff>552450</xdr:colOff>
      <xdr:row>62</xdr:row>
      <xdr:rowOff>19050</xdr:rowOff>
    </xdr:from>
    <xdr:to>
      <xdr:col>9</xdr:col>
      <xdr:colOff>85725</xdr:colOff>
      <xdr:row>64</xdr:row>
      <xdr:rowOff>142875</xdr:rowOff>
    </xdr:to>
    <xdr:sp macro="" textlink="">
      <xdr:nvSpPr>
        <xdr:cNvPr id="32" name="Arrow: Down 31">
          <a:extLst>
            <a:ext uri="{FF2B5EF4-FFF2-40B4-BE49-F238E27FC236}">
              <a16:creationId xmlns:a16="http://schemas.microsoft.com/office/drawing/2014/main" xmlns="" id="{E348CE03-6577-420C-B364-44BCE6216871}"/>
            </a:ext>
          </a:extLst>
        </xdr:cNvPr>
        <xdr:cNvSpPr/>
      </xdr:nvSpPr>
      <xdr:spPr>
        <a:xfrm>
          <a:off x="8496300" y="15954375"/>
          <a:ext cx="142875" cy="600075"/>
        </a:xfrm>
        <a:prstGeom prst="downArrow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247650</xdr:colOff>
      <xdr:row>65</xdr:row>
      <xdr:rowOff>19050</xdr:rowOff>
    </xdr:from>
    <xdr:to>
      <xdr:col>10</xdr:col>
      <xdr:colOff>0</xdr:colOff>
      <xdr:row>66</xdr:row>
      <xdr:rowOff>57150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xmlns="" id="{C1752FC9-B013-40A4-BB31-CF856C6129C1}"/>
            </a:ext>
          </a:extLst>
        </xdr:cNvPr>
        <xdr:cNvSpPr/>
      </xdr:nvSpPr>
      <xdr:spPr>
        <a:xfrm>
          <a:off x="8191500" y="16668750"/>
          <a:ext cx="9715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238125</xdr:colOff>
      <xdr:row>60</xdr:row>
      <xdr:rowOff>209550</xdr:rowOff>
    </xdr:from>
    <xdr:to>
      <xdr:col>9</xdr:col>
      <xdr:colOff>600075</xdr:colOff>
      <xdr:row>62</xdr:row>
      <xdr:rowOff>9525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xmlns="" id="{A6D5FAD6-5C3A-47E4-ADB9-5500EA97D8CB}"/>
            </a:ext>
          </a:extLst>
        </xdr:cNvPr>
        <xdr:cNvSpPr/>
      </xdr:nvSpPr>
      <xdr:spPr>
        <a:xfrm>
          <a:off x="8181975" y="15668625"/>
          <a:ext cx="9715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476250</xdr:colOff>
      <xdr:row>94</xdr:row>
      <xdr:rowOff>85725</xdr:rowOff>
    </xdr:from>
    <xdr:to>
      <xdr:col>20</xdr:col>
      <xdr:colOff>459293</xdr:colOff>
      <xdr:row>98</xdr:row>
      <xdr:rowOff>19174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xmlns="" id="{5AEE123D-B947-40FA-9549-BB8052B3D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23900" y="23641050"/>
          <a:ext cx="14994443" cy="885949"/>
        </a:xfrm>
        <a:prstGeom prst="rect">
          <a:avLst/>
        </a:prstGeom>
      </xdr:spPr>
    </xdr:pic>
    <xdr:clientData/>
  </xdr:twoCellAnchor>
  <xdr:twoCellAnchor>
    <xdr:from>
      <xdr:col>18</xdr:col>
      <xdr:colOff>523875</xdr:colOff>
      <xdr:row>96</xdr:row>
      <xdr:rowOff>152400</xdr:rowOff>
    </xdr:from>
    <xdr:to>
      <xdr:col>19</xdr:col>
      <xdr:colOff>219075</xdr:colOff>
      <xdr:row>97</xdr:row>
      <xdr:rowOff>161925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xmlns="" id="{940B91D6-9E15-46B0-BB3D-451E97BD1739}"/>
            </a:ext>
          </a:extLst>
        </xdr:cNvPr>
        <xdr:cNvSpPr/>
      </xdr:nvSpPr>
      <xdr:spPr>
        <a:xfrm>
          <a:off x="14563725" y="24183975"/>
          <a:ext cx="304800" cy="2476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400050</xdr:colOff>
      <xdr:row>96</xdr:row>
      <xdr:rowOff>180975</xdr:rowOff>
    </xdr:from>
    <xdr:to>
      <xdr:col>13</xdr:col>
      <xdr:colOff>28575</xdr:colOff>
      <xdr:row>97</xdr:row>
      <xdr:rowOff>180975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xmlns="" id="{4CFA960E-FE17-49DB-AD46-9C439ABD264A}"/>
            </a:ext>
          </a:extLst>
        </xdr:cNvPr>
        <xdr:cNvSpPr/>
      </xdr:nvSpPr>
      <xdr:spPr>
        <a:xfrm>
          <a:off x="10172700" y="24212550"/>
          <a:ext cx="847725" cy="2381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114300</xdr:colOff>
      <xdr:row>97</xdr:row>
      <xdr:rowOff>57150</xdr:rowOff>
    </xdr:from>
    <xdr:to>
      <xdr:col>18</xdr:col>
      <xdr:colOff>457201</xdr:colOff>
      <xdr:row>97</xdr:row>
      <xdr:rowOff>57150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xmlns="" id="{03ED879C-0493-488E-B657-90F624CA55F1}"/>
            </a:ext>
          </a:extLst>
        </xdr:cNvPr>
        <xdr:cNvCxnSpPr/>
      </xdr:nvCxnSpPr>
      <xdr:spPr>
        <a:xfrm flipH="1">
          <a:off x="11106150" y="24326850"/>
          <a:ext cx="3390901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600075</xdr:colOff>
      <xdr:row>104</xdr:row>
      <xdr:rowOff>123825</xdr:rowOff>
    </xdr:from>
    <xdr:to>
      <xdr:col>22</xdr:col>
      <xdr:colOff>516603</xdr:colOff>
      <xdr:row>110</xdr:row>
      <xdr:rowOff>124024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xmlns="" id="{D23EC9F3-71E2-41D8-9E8C-0EFBDDEFD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47725" y="26060400"/>
          <a:ext cx="16147128" cy="1428949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113</xdr:row>
      <xdr:rowOff>57150</xdr:rowOff>
    </xdr:from>
    <xdr:to>
      <xdr:col>19</xdr:col>
      <xdr:colOff>192453</xdr:colOff>
      <xdr:row>120</xdr:row>
      <xdr:rowOff>133471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xmlns="" id="{410BE6F6-B32C-4A4A-8FA5-F6D68DEEFAA9}"/>
            </a:ext>
          </a:extLst>
        </xdr:cNvPr>
        <xdr:cNvGrpSpPr/>
      </xdr:nvGrpSpPr>
      <xdr:grpSpPr>
        <a:xfrm>
          <a:off x="847725" y="28165425"/>
          <a:ext cx="13994178" cy="1743196"/>
          <a:chOff x="847725" y="28136850"/>
          <a:chExt cx="13994178" cy="1743196"/>
        </a:xfrm>
      </xdr:grpSpPr>
      <xdr:pic>
        <xdr:nvPicPr>
          <xdr:cNvPr id="42" name="Picture 41">
            <a:extLst>
              <a:ext uri="{FF2B5EF4-FFF2-40B4-BE49-F238E27FC236}">
                <a16:creationId xmlns:a16="http://schemas.microsoft.com/office/drawing/2014/main" xmlns="" id="{329A5929-206A-4AF5-A811-A77D2E38D0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876300" y="29013150"/>
            <a:ext cx="12593808" cy="866896"/>
          </a:xfrm>
          <a:prstGeom prst="rect">
            <a:avLst/>
          </a:prstGeom>
        </xdr:spPr>
      </xdr:pic>
      <xdr:pic>
        <xdr:nvPicPr>
          <xdr:cNvPr id="43" name="Picture 42">
            <a:extLst>
              <a:ext uri="{FF2B5EF4-FFF2-40B4-BE49-F238E27FC236}">
                <a16:creationId xmlns:a16="http://schemas.microsoft.com/office/drawing/2014/main" xmlns="" id="{837F1D31-F85F-4184-9996-9C0E7C96F6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847725" y="28136850"/>
            <a:ext cx="13994178" cy="962159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476250</xdr:colOff>
      <xdr:row>113</xdr:row>
      <xdr:rowOff>180975</xdr:rowOff>
    </xdr:from>
    <xdr:to>
      <xdr:col>16</xdr:col>
      <xdr:colOff>66675</xdr:colOff>
      <xdr:row>117</xdr:row>
      <xdr:rowOff>19050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xmlns="" id="{02C4334F-F781-4EFA-B5E4-BDE2BB60DECE}"/>
            </a:ext>
          </a:extLst>
        </xdr:cNvPr>
        <xdr:cNvSpPr/>
      </xdr:nvSpPr>
      <xdr:spPr>
        <a:xfrm>
          <a:off x="12077700" y="28260675"/>
          <a:ext cx="809625" cy="7905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95250</xdr:colOff>
      <xdr:row>117</xdr:row>
      <xdr:rowOff>57150</xdr:rowOff>
    </xdr:from>
    <xdr:to>
      <xdr:col>17</xdr:col>
      <xdr:colOff>66675</xdr:colOff>
      <xdr:row>120</xdr:row>
      <xdr:rowOff>104775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xmlns="" id="{1497A7AC-4A07-47A6-AD6D-8F703269AE13}"/>
            </a:ext>
          </a:extLst>
        </xdr:cNvPr>
        <xdr:cNvSpPr/>
      </xdr:nvSpPr>
      <xdr:spPr>
        <a:xfrm>
          <a:off x="12306300" y="29089350"/>
          <a:ext cx="1190625" cy="7620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19050</xdr:colOff>
      <xdr:row>116</xdr:row>
      <xdr:rowOff>180975</xdr:rowOff>
    </xdr:from>
    <xdr:to>
      <xdr:col>15</xdr:col>
      <xdr:colOff>95250</xdr:colOff>
      <xdr:row>118</xdr:row>
      <xdr:rowOff>200025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xmlns="" id="{52D422E8-D6EB-4E6B-977E-8CAB46A8CA0C}"/>
            </a:ext>
          </a:extLst>
        </xdr:cNvPr>
        <xdr:cNvCxnSpPr>
          <a:stCxn id="46" idx="1"/>
        </xdr:cNvCxnSpPr>
      </xdr:nvCxnSpPr>
      <xdr:spPr>
        <a:xfrm flipH="1" flipV="1">
          <a:off x="11010900" y="28975050"/>
          <a:ext cx="1295400" cy="4953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866775</xdr:colOff>
      <xdr:row>114</xdr:row>
      <xdr:rowOff>152400</xdr:rowOff>
    </xdr:from>
    <xdr:ext cx="921727" cy="264560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xmlns="" id="{51ADD6EF-56C2-4E52-BE53-C90B56FD7723}"/>
            </a:ext>
          </a:extLst>
        </xdr:cNvPr>
        <xdr:cNvSpPr txBox="1"/>
      </xdr:nvSpPr>
      <xdr:spPr>
        <a:xfrm>
          <a:off x="4057650" y="28470225"/>
          <a:ext cx="921727" cy="264560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solidFill>
                <a:srgbClr val="FF0000"/>
              </a:solidFill>
            </a:rPr>
            <a:t>VD: nhập</a:t>
          </a:r>
          <a:r>
            <a:rPr lang="en-US" sz="1100" b="1" baseline="0">
              <a:solidFill>
                <a:srgbClr val="FF0000"/>
              </a:solidFill>
            </a:rPr>
            <a:t> OT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4</xdr:col>
      <xdr:colOff>47625</xdr:colOff>
      <xdr:row>105</xdr:row>
      <xdr:rowOff>133350</xdr:rowOff>
    </xdr:from>
    <xdr:ext cx="1604991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xmlns="" id="{7297C98F-1F05-40CA-B3D9-3BB11BB17E39}"/>
            </a:ext>
          </a:extLst>
        </xdr:cNvPr>
        <xdr:cNvSpPr txBox="1"/>
      </xdr:nvSpPr>
      <xdr:spPr>
        <a:xfrm>
          <a:off x="3238500" y="26308050"/>
          <a:ext cx="1604991" cy="264560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solidFill>
                <a:srgbClr val="FF0000"/>
              </a:solidFill>
            </a:rPr>
            <a:t>VD: nhập</a:t>
          </a:r>
          <a:r>
            <a:rPr lang="en-US" sz="1100" b="1" baseline="0">
              <a:solidFill>
                <a:srgbClr val="FF0000"/>
              </a:solidFill>
            </a:rPr>
            <a:t> estimate &amp; trễ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91108</xdr:colOff>
      <xdr:row>0</xdr:row>
      <xdr:rowOff>0</xdr:rowOff>
    </xdr:from>
    <xdr:to>
      <xdr:col>1</xdr:col>
      <xdr:colOff>2459934</xdr:colOff>
      <xdr:row>0</xdr:row>
      <xdr:rowOff>1027043</xdr:rowOff>
    </xdr:to>
    <xdr:sp macro="" textlink="">
      <xdr:nvSpPr>
        <xdr:cNvPr id="2" name="Flowchart: Process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91108" y="0"/>
          <a:ext cx="4000500" cy="1027043"/>
        </a:xfrm>
        <a:prstGeom prst="flowChartProcess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FF0000"/>
              </a:solidFill>
            </a:rPr>
            <a:t>Yêu</a:t>
          </a:r>
          <a:r>
            <a:rPr lang="en-US" sz="1100" b="1" baseline="0">
              <a:solidFill>
                <a:srgbClr val="FF0000"/>
              </a:solidFill>
            </a:rPr>
            <a:t> cầu Bắt Buộc:</a:t>
          </a:r>
        </a:p>
        <a:p>
          <a:pPr algn="l"/>
          <a:r>
            <a:rPr lang="en-US" sz="1100" baseline="0"/>
            <a:t>   </a:t>
          </a:r>
          <a:r>
            <a:rPr lang="en-US" sz="1100" b="1" baseline="0">
              <a:solidFill>
                <a:srgbClr val="FF0000"/>
              </a:solidFill>
            </a:rPr>
            <a:t>Chọn đúng Project </a:t>
          </a:r>
          <a:r>
            <a:rPr lang="en-US" sz="1100" baseline="0">
              <a:solidFill>
                <a:srgbClr val="FF0000"/>
              </a:solidFill>
            </a:rPr>
            <a:t>cho từng công việc (hạn chế chọn Other)</a:t>
          </a:r>
        </a:p>
        <a:p>
          <a:pPr algn="l"/>
          <a:r>
            <a:rPr lang="en-US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n-US" sz="11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Chọn đúng Task Name </a:t>
          </a:r>
          <a:r>
            <a:rPr lang="en-US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với từng Project</a:t>
          </a:r>
          <a:endParaRPr lang="en-US" sz="1050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050">
              <a:solidFill>
                <a:sysClr val="windowText" lastClr="000000"/>
              </a:solidFill>
            </a:rPr>
            <a:t>※ Công</a:t>
          </a:r>
          <a:r>
            <a:rPr lang="en-US" sz="1050" baseline="0">
              <a:solidFill>
                <a:sysClr val="windowText" lastClr="000000"/>
              </a:solidFill>
            </a:rPr>
            <a:t> việc nào không có mục để chọn thì liên lạc với người quản lý trực tiếp (không được chọn đại)</a:t>
          </a:r>
          <a:endParaRPr lang="en-US" sz="105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0</xdr:row>
          <xdr:rowOff>38100</xdr:rowOff>
        </xdr:from>
        <xdr:to>
          <xdr:col>6</xdr:col>
          <xdr:colOff>466725</xdr:colOff>
          <xdr:row>2</xdr:row>
          <xdr:rowOff>9525</xdr:rowOff>
        </xdr:to>
        <xdr:sp macro="" textlink="">
          <xdr:nvSpPr>
            <xdr:cNvPr id="3073" name="CreateDailyRepor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1057275</xdr:colOff>
          <xdr:row>0</xdr:row>
          <xdr:rowOff>28575</xdr:rowOff>
        </xdr:from>
        <xdr:to>
          <xdr:col>7</xdr:col>
          <xdr:colOff>1095375</xdr:colOff>
          <xdr:row>2</xdr:row>
          <xdr:rowOff>9525</xdr:rowOff>
        </xdr:to>
        <xdr:sp macro="" textlink="">
          <xdr:nvSpPr>
            <xdr:cNvPr id="3082" name="CopyClipboard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xmlns="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22" displayName="Table22" ref="A1:F402" totalsRowShown="0" headerRowDxfId="12" dataDxfId="11">
  <autoFilter ref="A1:F402"/>
  <tableColumns count="6">
    <tableColumn id="1" name="No" dataDxfId="10"/>
    <tableColumn id="2" name="Project" dataDxfId="9"/>
    <tableColumn id="6" name="Task name" dataDxfId="8"/>
    <tableColumn id="3" name="Member" dataDxfId="7"/>
    <tableColumn id="4" name="Status" dataDxfId="6"/>
    <tableColumn id="5" name="Process" dataDxfId="5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H6:J67" totalsRowShown="0" headerRowDxfId="4" dataDxfId="3">
  <tableColumns count="3">
    <tableColumn id="1" name=" [Project]" dataDxfId="2"/>
    <tableColumn id="3" name="[Process]" dataDxfId="1"/>
    <tableColumn id="4" name="Note" dataDxfId="0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1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5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X125"/>
  <sheetViews>
    <sheetView showGridLines="0" workbookViewId="0">
      <selection activeCell="C94" sqref="C94"/>
    </sheetView>
  </sheetViews>
  <sheetFormatPr defaultRowHeight="18.75"/>
  <cols>
    <col min="1" max="1" width="3.7109375" style="30" customWidth="1"/>
    <col min="2" max="3" width="20.7109375" style="30" customWidth="1"/>
    <col min="4" max="4" width="2.7109375" style="30" customWidth="1"/>
    <col min="5" max="7" width="20.7109375" style="30" customWidth="1"/>
    <col min="8" max="16384" width="9.140625" style="30"/>
  </cols>
  <sheetData>
    <row r="1" spans="1:24" ht="18" customHeight="1">
      <c r="D1" s="31"/>
    </row>
    <row r="2" spans="1:24" ht="48" customHeight="1">
      <c r="B2" s="26" t="s">
        <v>127</v>
      </c>
      <c r="C2" s="26" t="s">
        <v>128</v>
      </c>
      <c r="D2" s="32"/>
      <c r="E2" s="28" t="s">
        <v>130</v>
      </c>
      <c r="F2" s="100" t="s">
        <v>155</v>
      </c>
      <c r="G2" s="29" t="s">
        <v>129</v>
      </c>
    </row>
    <row r="3" spans="1:24" ht="48" customHeight="1">
      <c r="B3" s="27" t="str">
        <f>SUM(wwNVChuc!$F$3:$F$1048576)&amp;" H"</f>
        <v>107.5 H</v>
      </c>
      <c r="C3" s="27" t="str">
        <f>SUM(wwNVChuc!$G$3:$G$1048576)&amp;" H"</f>
        <v>128 H</v>
      </c>
      <c r="D3" s="33"/>
      <c r="E3" s="27" t="str">
        <f>(SUM(wwNVChuc!$H$3:$H$1048576)*-1)&amp;" H"</f>
        <v>20.5 H</v>
      </c>
      <c r="F3" s="27" t="str">
        <f>SUM(wwNVChuc!$I$3:$I$1048576)&amp;" H"</f>
        <v>0 H</v>
      </c>
      <c r="G3" s="27" t="str">
        <f>SUM(wwNVChuc!$J$3:$J$1048576)&amp;" H"</f>
        <v>0 H</v>
      </c>
    </row>
    <row r="5" spans="1:24" s="101" customFormat="1"/>
    <row r="6" spans="1:24">
      <c r="A6" s="102"/>
      <c r="B6" s="102"/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</row>
    <row r="7" spans="1:24">
      <c r="A7" s="102"/>
      <c r="B7" s="108" t="s">
        <v>156</v>
      </c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</row>
    <row r="8" spans="1:24">
      <c r="A8" s="102"/>
      <c r="B8" s="108" t="s">
        <v>171</v>
      </c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2"/>
      <c r="T8" s="102"/>
      <c r="U8" s="102"/>
      <c r="V8" s="102"/>
      <c r="W8" s="102"/>
      <c r="X8" s="102"/>
    </row>
    <row r="9" spans="1:24">
      <c r="A9" s="102"/>
      <c r="B9" s="109" t="s">
        <v>158</v>
      </c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2"/>
      <c r="X9" s="102"/>
    </row>
    <row r="10" spans="1:24">
      <c r="A10" s="102"/>
      <c r="B10" s="104" t="s">
        <v>157</v>
      </c>
      <c r="C10" s="102"/>
      <c r="D10" s="102"/>
      <c r="E10" s="102"/>
      <c r="F10" s="102"/>
      <c r="G10" s="102"/>
      <c r="H10" s="102"/>
      <c r="I10" s="102"/>
      <c r="J10" s="102"/>
      <c r="K10" s="102"/>
      <c r="L10" s="102"/>
      <c r="M10" s="102"/>
      <c r="N10" s="102"/>
      <c r="O10" s="102"/>
      <c r="P10" s="102"/>
      <c r="Q10" s="102"/>
      <c r="R10" s="102"/>
      <c r="S10" s="102"/>
      <c r="T10" s="102"/>
      <c r="U10" s="102"/>
      <c r="V10" s="102"/>
      <c r="W10" s="102"/>
      <c r="X10" s="102"/>
    </row>
    <row r="11" spans="1:24">
      <c r="A11" s="102"/>
      <c r="B11" s="104" t="s">
        <v>169</v>
      </c>
      <c r="C11" s="102"/>
      <c r="D11" s="102"/>
      <c r="E11" s="102"/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</row>
    <row r="12" spans="1:24">
      <c r="A12" s="102"/>
      <c r="B12" s="109" t="s">
        <v>159</v>
      </c>
      <c r="C12" s="102"/>
      <c r="D12" s="102"/>
      <c r="E12" s="102"/>
      <c r="F12" s="102"/>
      <c r="G12" s="102"/>
      <c r="H12" s="102"/>
      <c r="I12" s="102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102"/>
    </row>
    <row r="13" spans="1:24">
      <c r="A13" s="102"/>
      <c r="B13" s="111" t="s">
        <v>160</v>
      </c>
      <c r="C13" s="102"/>
      <c r="D13" s="102"/>
      <c r="E13" s="102"/>
      <c r="F13" s="102"/>
      <c r="G13" s="102"/>
      <c r="H13" s="102"/>
      <c r="I13" s="102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2"/>
      <c r="X13" s="102"/>
    </row>
    <row r="14" spans="1:24">
      <c r="A14" s="102"/>
      <c r="B14" s="102"/>
      <c r="C14" s="102" t="s">
        <v>161</v>
      </c>
      <c r="D14" s="102"/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2"/>
      <c r="X14" s="102"/>
    </row>
    <row r="15" spans="1:24">
      <c r="A15" s="102"/>
      <c r="B15" s="102"/>
      <c r="C15" s="102" t="s">
        <v>162</v>
      </c>
      <c r="D15" s="102"/>
      <c r="E15" s="102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</row>
    <row r="16" spans="1:24">
      <c r="A16" s="102"/>
      <c r="B16" s="102"/>
      <c r="C16" s="105" t="s">
        <v>163</v>
      </c>
      <c r="D16" s="102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2"/>
      <c r="X16" s="102"/>
    </row>
    <row r="17" spans="1:24">
      <c r="A17" s="102"/>
      <c r="B17" s="102"/>
      <c r="C17" s="105"/>
      <c r="D17" s="102"/>
      <c r="E17" s="102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2"/>
      <c r="X17" s="102"/>
    </row>
    <row r="18" spans="1:24">
      <c r="A18" s="102"/>
      <c r="B18" s="102"/>
      <c r="C18" s="105"/>
      <c r="D18" s="102"/>
      <c r="E18" s="102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2"/>
      <c r="X18" s="102"/>
    </row>
    <row r="19" spans="1:24">
      <c r="A19" s="102"/>
      <c r="B19" s="102"/>
      <c r="C19" s="105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</row>
    <row r="20" spans="1:24">
      <c r="A20" s="102"/>
      <c r="B20" s="102"/>
      <c r="C20" s="105"/>
      <c r="D20" s="102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2"/>
      <c r="X20" s="102"/>
    </row>
    <row r="21" spans="1:24">
      <c r="A21" s="102"/>
      <c r="B21" s="102"/>
      <c r="C21" s="105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</row>
    <row r="22" spans="1:24">
      <c r="A22" s="102"/>
      <c r="B22" s="111" t="s">
        <v>164</v>
      </c>
      <c r="C22" s="102"/>
      <c r="D22" s="102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2"/>
      <c r="U22" s="102"/>
      <c r="V22" s="102"/>
      <c r="W22" s="102"/>
      <c r="X22" s="102"/>
    </row>
    <row r="23" spans="1:24">
      <c r="A23" s="102"/>
      <c r="B23" s="102"/>
      <c r="C23" s="102" t="s">
        <v>165</v>
      </c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</row>
    <row r="24" spans="1:24">
      <c r="A24" s="102"/>
      <c r="B24" s="102"/>
      <c r="C24" s="102" t="s">
        <v>166</v>
      </c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</row>
    <row r="25" spans="1:24">
      <c r="A25" s="102"/>
      <c r="B25" s="102"/>
      <c r="C25" s="102" t="s">
        <v>167</v>
      </c>
      <c r="D25" s="102"/>
      <c r="E25" s="102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  <c r="Q25" s="102"/>
      <c r="R25" s="102"/>
      <c r="S25" s="102"/>
      <c r="T25" s="102"/>
      <c r="U25" s="102"/>
      <c r="V25" s="102"/>
      <c r="W25" s="102"/>
      <c r="X25" s="102"/>
    </row>
    <row r="26" spans="1:24" ht="19.5">
      <c r="A26" s="102"/>
      <c r="B26" s="102"/>
      <c r="C26" s="114" t="s">
        <v>168</v>
      </c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</row>
    <row r="27" spans="1:24">
      <c r="A27" s="102"/>
      <c r="B27" s="102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  <c r="T27" s="102"/>
      <c r="U27" s="102"/>
      <c r="V27" s="102"/>
      <c r="W27" s="102"/>
      <c r="X27" s="102"/>
    </row>
    <row r="28" spans="1:24">
      <c r="A28" s="102"/>
      <c r="B28" s="102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2"/>
      <c r="T28" s="102"/>
      <c r="U28" s="102"/>
      <c r="V28" s="102"/>
      <c r="W28" s="102"/>
      <c r="X28" s="102"/>
    </row>
    <row r="29" spans="1:24">
      <c r="A29" s="102"/>
      <c r="B29" s="102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102"/>
      <c r="S29" s="102"/>
      <c r="T29" s="102"/>
      <c r="U29" s="102"/>
      <c r="V29" s="102"/>
      <c r="W29" s="102"/>
      <c r="X29" s="102"/>
    </row>
    <row r="30" spans="1:24">
      <c r="A30" s="102"/>
      <c r="B30" s="102"/>
      <c r="C30" s="102"/>
      <c r="D30" s="102"/>
      <c r="E30" s="102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  <c r="Q30" s="102"/>
      <c r="R30" s="102"/>
      <c r="S30" s="102"/>
      <c r="T30" s="102"/>
      <c r="U30" s="102"/>
      <c r="V30" s="102"/>
      <c r="W30" s="102"/>
      <c r="X30" s="102"/>
    </row>
    <row r="31" spans="1:24">
      <c r="A31" s="102"/>
      <c r="B31" s="102"/>
      <c r="C31" s="102"/>
      <c r="D31" s="102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  <c r="T31" s="102"/>
      <c r="U31" s="102"/>
      <c r="V31" s="102"/>
      <c r="W31" s="102"/>
      <c r="X31" s="102"/>
    </row>
    <row r="32" spans="1:24">
      <c r="A32" s="102"/>
      <c r="B32" s="102"/>
      <c r="C32" s="102"/>
      <c r="D32" s="102"/>
      <c r="E32" s="102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  <c r="Q32" s="102"/>
      <c r="R32" s="102"/>
      <c r="S32" s="102"/>
      <c r="T32" s="102"/>
      <c r="U32" s="102"/>
      <c r="V32" s="102"/>
      <c r="W32" s="102"/>
      <c r="X32" s="102"/>
    </row>
    <row r="33" spans="1:24" ht="36" customHeight="1">
      <c r="A33" s="102"/>
      <c r="B33" s="102"/>
      <c r="C33" s="102"/>
      <c r="D33" s="102"/>
      <c r="E33" s="102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102"/>
      <c r="S33" s="102"/>
      <c r="T33" s="102"/>
      <c r="U33" s="102"/>
      <c r="V33" s="102"/>
      <c r="W33" s="102"/>
      <c r="X33" s="102"/>
    </row>
    <row r="34" spans="1:24" ht="36" customHeight="1">
      <c r="A34" s="102"/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  <c r="Q34" s="102"/>
      <c r="R34" s="102"/>
      <c r="S34" s="102"/>
      <c r="T34" s="102"/>
      <c r="U34" s="102"/>
      <c r="V34" s="102"/>
      <c r="W34" s="102"/>
      <c r="X34" s="102"/>
    </row>
    <row r="35" spans="1:24" ht="19.5">
      <c r="A35" s="102"/>
      <c r="B35" s="102"/>
      <c r="C35" s="114" t="s">
        <v>185</v>
      </c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  <c r="Q35" s="102"/>
      <c r="R35" s="102"/>
      <c r="S35" s="102"/>
      <c r="T35" s="102"/>
      <c r="U35" s="102"/>
      <c r="V35" s="102"/>
      <c r="W35" s="102"/>
      <c r="X35" s="102"/>
    </row>
    <row r="36" spans="1:24">
      <c r="A36" s="102"/>
      <c r="B36" s="102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  <c r="Q36" s="102"/>
      <c r="R36" s="102"/>
      <c r="S36" s="102"/>
      <c r="T36" s="102"/>
      <c r="U36" s="102"/>
      <c r="V36" s="102"/>
      <c r="W36" s="102"/>
      <c r="X36" s="102"/>
    </row>
    <row r="37" spans="1:24">
      <c r="A37" s="102"/>
      <c r="B37" s="102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  <c r="Q37" s="102"/>
      <c r="R37" s="102"/>
      <c r="S37" s="102"/>
      <c r="T37" s="102"/>
      <c r="U37" s="102"/>
      <c r="V37" s="102"/>
      <c r="W37" s="102"/>
      <c r="X37" s="102"/>
    </row>
    <row r="38" spans="1:24">
      <c r="A38" s="102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  <c r="Q38" s="102"/>
      <c r="R38" s="102"/>
      <c r="S38" s="102"/>
      <c r="T38" s="102"/>
      <c r="U38" s="102"/>
      <c r="V38" s="102"/>
      <c r="W38" s="102"/>
      <c r="X38" s="102"/>
    </row>
    <row r="39" spans="1:24">
      <c r="A39" s="102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  <c r="Q39" s="102"/>
      <c r="R39" s="102"/>
      <c r="S39" s="102"/>
      <c r="T39" s="102"/>
      <c r="U39" s="102"/>
      <c r="V39" s="102"/>
      <c r="W39" s="102"/>
      <c r="X39" s="102"/>
    </row>
    <row r="40" spans="1:24">
      <c r="A40" s="102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  <c r="Q40" s="102"/>
      <c r="R40" s="102"/>
      <c r="S40" s="102"/>
      <c r="T40" s="102"/>
      <c r="U40" s="102"/>
      <c r="V40" s="102"/>
      <c r="W40" s="102"/>
      <c r="X40" s="102"/>
    </row>
    <row r="41" spans="1:24">
      <c r="A41" s="102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  <c r="Q41" s="102"/>
      <c r="R41" s="102"/>
      <c r="S41" s="102"/>
      <c r="T41" s="102"/>
      <c r="U41" s="102"/>
      <c r="V41" s="102"/>
      <c r="W41" s="102"/>
      <c r="X41" s="102"/>
    </row>
    <row r="42" spans="1:24">
      <c r="A42" s="102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</row>
    <row r="43" spans="1:24">
      <c r="A43" s="102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</row>
    <row r="44" spans="1:24">
      <c r="A44" s="102"/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2"/>
      <c r="X44" s="102"/>
    </row>
    <row r="45" spans="1:24">
      <c r="A45" s="102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</row>
    <row r="46" spans="1:24">
      <c r="A46" s="102"/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</row>
    <row r="47" spans="1:24">
      <c r="A47" s="102"/>
      <c r="B47" s="102"/>
      <c r="C47" s="102"/>
      <c r="D47" s="102"/>
      <c r="E47" s="102"/>
      <c r="F47" s="102"/>
      <c r="G47" s="102"/>
      <c r="H47" s="102"/>
      <c r="I47" s="102"/>
      <c r="J47" s="102"/>
      <c r="K47" s="102"/>
      <c r="L47" s="102"/>
      <c r="M47" s="102"/>
      <c r="N47" s="102"/>
      <c r="O47" s="102"/>
      <c r="P47" s="102"/>
      <c r="Q47" s="102"/>
      <c r="R47" s="102"/>
      <c r="S47" s="102"/>
      <c r="T47" s="102"/>
      <c r="U47" s="102"/>
      <c r="V47" s="102"/>
      <c r="W47" s="102"/>
      <c r="X47" s="102"/>
    </row>
    <row r="48" spans="1:24">
      <c r="A48" s="102"/>
      <c r="B48" s="102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</row>
    <row r="49" spans="1:24">
      <c r="A49" s="102"/>
      <c r="B49" s="102"/>
      <c r="C49" s="102"/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</row>
    <row r="50" spans="1:24">
      <c r="A50" s="102"/>
      <c r="B50" s="102"/>
      <c r="C50" s="102"/>
      <c r="D50" s="102"/>
      <c r="E50" s="102"/>
      <c r="F50" s="102"/>
      <c r="G50" s="102"/>
      <c r="H50" s="102"/>
      <c r="I50" s="102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  <c r="U50" s="102"/>
      <c r="V50" s="102"/>
      <c r="W50" s="102"/>
      <c r="X50" s="102"/>
    </row>
    <row r="51" spans="1:24">
      <c r="A51" s="102"/>
      <c r="B51" s="102"/>
      <c r="C51" s="102"/>
      <c r="D51" s="102"/>
      <c r="E51" s="102"/>
      <c r="F51" s="102"/>
      <c r="G51" s="102"/>
      <c r="H51" s="102"/>
      <c r="I51" s="102"/>
      <c r="J51" s="102"/>
      <c r="K51" s="102"/>
      <c r="L51" s="102"/>
      <c r="M51" s="102"/>
      <c r="N51" s="102"/>
      <c r="O51" s="102"/>
      <c r="P51" s="102"/>
      <c r="Q51" s="102"/>
      <c r="R51" s="102"/>
      <c r="S51" s="102"/>
      <c r="T51" s="102"/>
      <c r="U51" s="102"/>
      <c r="V51" s="102"/>
      <c r="W51" s="102"/>
      <c r="X51" s="102"/>
    </row>
    <row r="52" spans="1:24">
      <c r="A52" s="102"/>
      <c r="B52" s="102"/>
      <c r="C52" s="102"/>
      <c r="D52" s="102"/>
      <c r="E52" s="102"/>
      <c r="F52" s="102"/>
      <c r="G52" s="102"/>
      <c r="H52" s="102"/>
      <c r="I52" s="102"/>
      <c r="J52" s="102"/>
      <c r="K52" s="102"/>
      <c r="L52" s="102"/>
      <c r="M52" s="102"/>
      <c r="N52" s="102"/>
      <c r="O52" s="102"/>
      <c r="P52" s="102"/>
      <c r="Q52" s="102"/>
      <c r="R52" s="102"/>
      <c r="S52" s="102"/>
      <c r="T52" s="102"/>
      <c r="U52" s="102"/>
      <c r="V52" s="102"/>
      <c r="W52" s="102"/>
      <c r="X52" s="102"/>
    </row>
    <row r="53" spans="1:24">
      <c r="A53" s="102"/>
      <c r="B53" s="102"/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102"/>
      <c r="U53" s="102"/>
      <c r="V53" s="102"/>
      <c r="W53" s="102"/>
      <c r="X53" s="102"/>
    </row>
    <row r="54" spans="1:24">
      <c r="A54" s="102"/>
      <c r="B54" s="102"/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</row>
    <row r="55" spans="1:24">
      <c r="A55" s="102"/>
      <c r="B55" s="102"/>
      <c r="C55" s="102"/>
      <c r="D55" s="102"/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</row>
    <row r="56" spans="1:24">
      <c r="A56" s="102"/>
      <c r="B56" s="102"/>
      <c r="C56" s="102"/>
      <c r="D56" s="102"/>
      <c r="E56" s="102"/>
      <c r="F56" s="102"/>
      <c r="G56" s="102"/>
      <c r="H56" s="102"/>
      <c r="I56" s="102"/>
      <c r="J56" s="102"/>
      <c r="K56" s="102"/>
      <c r="L56" s="102"/>
      <c r="M56" s="102"/>
      <c r="N56" s="102"/>
      <c r="O56" s="102"/>
      <c r="P56" s="102"/>
      <c r="Q56" s="102"/>
      <c r="R56" s="102"/>
      <c r="S56" s="102"/>
      <c r="T56" s="102"/>
      <c r="U56" s="102"/>
      <c r="V56" s="102"/>
      <c r="W56" s="102"/>
      <c r="X56" s="102"/>
    </row>
    <row r="57" spans="1:24">
      <c r="A57" s="102"/>
      <c r="B57" s="102"/>
      <c r="C57" s="102"/>
      <c r="D57" s="102"/>
      <c r="E57" s="102"/>
      <c r="F57" s="102"/>
      <c r="G57" s="102"/>
      <c r="H57" s="102"/>
      <c r="I57" s="102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  <c r="U57" s="102"/>
      <c r="V57" s="102"/>
      <c r="W57" s="102"/>
      <c r="X57" s="102"/>
    </row>
    <row r="58" spans="1:24">
      <c r="A58" s="102"/>
      <c r="B58" s="102"/>
      <c r="C58" s="102"/>
      <c r="D58" s="102"/>
      <c r="E58" s="102"/>
      <c r="F58" s="102"/>
      <c r="G58" s="102"/>
      <c r="H58" s="102"/>
      <c r="I58" s="102"/>
      <c r="J58" s="102"/>
      <c r="K58" s="102"/>
      <c r="L58" s="102"/>
      <c r="M58" s="102"/>
      <c r="N58" s="102"/>
      <c r="O58" s="102"/>
      <c r="P58" s="102"/>
      <c r="Q58" s="102"/>
      <c r="R58" s="102"/>
      <c r="S58" s="102"/>
      <c r="T58" s="102"/>
      <c r="U58" s="102"/>
      <c r="V58" s="102"/>
      <c r="W58" s="102"/>
      <c r="X58" s="102"/>
    </row>
    <row r="59" spans="1:24" ht="19.5">
      <c r="A59" s="102"/>
      <c r="B59" s="102"/>
      <c r="C59" s="114" t="s">
        <v>184</v>
      </c>
      <c r="D59" s="102"/>
      <c r="E59" s="102"/>
      <c r="F59" s="102"/>
      <c r="G59" s="102"/>
      <c r="H59" s="102"/>
      <c r="I59" s="102"/>
      <c r="J59" s="102"/>
      <c r="K59" s="102"/>
      <c r="L59" s="102"/>
      <c r="M59" s="102"/>
      <c r="N59" s="102"/>
      <c r="O59" s="102"/>
      <c r="P59" s="102"/>
      <c r="Q59" s="102"/>
      <c r="R59" s="102"/>
      <c r="S59" s="102"/>
      <c r="T59" s="102"/>
      <c r="U59" s="102"/>
      <c r="V59" s="102"/>
      <c r="W59" s="102"/>
      <c r="X59" s="102"/>
    </row>
    <row r="60" spans="1:24">
      <c r="A60" s="102"/>
      <c r="B60" s="102"/>
      <c r="C60" s="102"/>
      <c r="D60" s="102"/>
      <c r="E60" s="102"/>
      <c r="F60" s="102"/>
      <c r="G60" s="102"/>
      <c r="H60" s="102"/>
      <c r="I60" s="102"/>
      <c r="J60" s="102"/>
      <c r="K60" s="102"/>
      <c r="L60" s="102"/>
      <c r="M60" s="102"/>
      <c r="N60" s="102"/>
      <c r="O60" s="102"/>
      <c r="P60" s="102"/>
      <c r="Q60" s="102"/>
      <c r="R60" s="102"/>
      <c r="S60" s="102"/>
      <c r="T60" s="102"/>
      <c r="U60" s="102"/>
      <c r="V60" s="102"/>
      <c r="W60" s="102"/>
      <c r="X60" s="102"/>
    </row>
    <row r="61" spans="1:24">
      <c r="A61" s="102"/>
      <c r="B61" s="102"/>
      <c r="C61" s="102"/>
      <c r="D61" s="102"/>
      <c r="E61" s="102"/>
      <c r="F61" s="102"/>
      <c r="G61" s="102"/>
      <c r="H61" s="102"/>
      <c r="I61" s="102"/>
      <c r="J61" s="102"/>
      <c r="K61" s="102"/>
      <c r="L61" s="102"/>
      <c r="M61" s="102"/>
      <c r="N61" s="102"/>
      <c r="O61" s="102"/>
      <c r="P61" s="102"/>
      <c r="Q61" s="102"/>
      <c r="R61" s="102"/>
      <c r="S61" s="102"/>
      <c r="T61" s="102"/>
      <c r="U61" s="102"/>
      <c r="V61" s="102"/>
      <c r="W61" s="102"/>
      <c r="X61" s="102"/>
    </row>
    <row r="62" spans="1:24">
      <c r="A62" s="102"/>
      <c r="B62" s="102"/>
      <c r="C62" s="102"/>
      <c r="D62" s="102"/>
      <c r="E62" s="102"/>
      <c r="F62" s="102"/>
      <c r="G62" s="102"/>
      <c r="H62" s="102"/>
      <c r="I62" s="102"/>
      <c r="J62" s="102"/>
      <c r="K62" s="102"/>
      <c r="L62" s="102"/>
      <c r="M62" s="102"/>
      <c r="N62" s="102"/>
      <c r="O62" s="102"/>
      <c r="P62" s="102"/>
      <c r="Q62" s="102"/>
      <c r="R62" s="102"/>
      <c r="S62" s="102"/>
      <c r="T62" s="102"/>
      <c r="U62" s="102"/>
      <c r="V62" s="102"/>
      <c r="W62" s="102"/>
      <c r="X62" s="102"/>
    </row>
    <row r="63" spans="1:24">
      <c r="A63" s="102"/>
      <c r="B63" s="102"/>
      <c r="C63" s="102"/>
      <c r="D63" s="102"/>
      <c r="E63" s="102"/>
      <c r="F63" s="102"/>
      <c r="G63" s="102"/>
      <c r="H63" s="102"/>
      <c r="I63" s="102"/>
      <c r="J63" s="102"/>
      <c r="K63" s="102"/>
      <c r="L63" s="102"/>
      <c r="M63" s="102"/>
      <c r="N63" s="102"/>
      <c r="O63" s="102"/>
      <c r="P63" s="102"/>
      <c r="Q63" s="102"/>
      <c r="R63" s="102"/>
      <c r="S63" s="102"/>
      <c r="T63" s="102"/>
      <c r="U63" s="102"/>
      <c r="V63" s="102"/>
      <c r="W63" s="102"/>
      <c r="X63" s="102"/>
    </row>
    <row r="64" spans="1:24">
      <c r="A64" s="102"/>
      <c r="B64" s="102"/>
      <c r="C64" s="102"/>
      <c r="D64" s="102"/>
      <c r="E64" s="102"/>
      <c r="F64" s="102"/>
      <c r="G64" s="102"/>
      <c r="H64" s="102"/>
      <c r="I64" s="102"/>
      <c r="J64" s="102"/>
      <c r="K64" s="102"/>
      <c r="L64" s="102"/>
      <c r="M64" s="102"/>
      <c r="N64" s="102"/>
      <c r="O64" s="102"/>
      <c r="P64" s="102"/>
      <c r="Q64" s="102"/>
      <c r="R64" s="102"/>
      <c r="S64" s="102"/>
      <c r="T64" s="102"/>
      <c r="U64" s="102"/>
      <c r="V64" s="102"/>
      <c r="W64" s="102"/>
      <c r="X64" s="102"/>
    </row>
    <row r="65" spans="1:24">
      <c r="A65" s="102"/>
      <c r="B65" s="102"/>
      <c r="C65" s="102"/>
      <c r="D65" s="102"/>
      <c r="E65" s="102"/>
      <c r="F65" s="102"/>
      <c r="G65" s="102"/>
      <c r="H65" s="102"/>
      <c r="I65" s="102"/>
      <c r="J65" s="102"/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2"/>
      <c r="W65" s="102"/>
      <c r="X65" s="102"/>
    </row>
    <row r="66" spans="1:24">
      <c r="A66" s="102"/>
      <c r="B66" s="102"/>
      <c r="C66" s="102"/>
      <c r="D66" s="102"/>
      <c r="E66" s="102"/>
      <c r="F66" s="102"/>
      <c r="G66" s="102"/>
      <c r="H66" s="102"/>
      <c r="I66" s="102"/>
      <c r="J66" s="102"/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2"/>
      <c r="W66" s="102"/>
      <c r="X66" s="102"/>
    </row>
    <row r="67" spans="1:24">
      <c r="A67" s="102"/>
      <c r="B67" s="102"/>
      <c r="C67" s="102"/>
      <c r="D67" s="102"/>
      <c r="E67" s="102"/>
      <c r="F67" s="102"/>
      <c r="G67" s="102"/>
      <c r="H67" s="102"/>
      <c r="I67" s="102"/>
      <c r="J67" s="102"/>
      <c r="K67" s="102"/>
      <c r="L67" s="102"/>
      <c r="M67" s="102"/>
      <c r="N67" s="102"/>
      <c r="O67" s="102"/>
      <c r="P67" s="102"/>
      <c r="Q67" s="102"/>
      <c r="R67" s="102"/>
      <c r="S67" s="102"/>
      <c r="T67" s="102"/>
      <c r="U67" s="102"/>
      <c r="V67" s="102"/>
      <c r="W67" s="102"/>
      <c r="X67" s="102"/>
    </row>
    <row r="68" spans="1:24">
      <c r="A68" s="102"/>
      <c r="B68" s="111" t="s">
        <v>170</v>
      </c>
      <c r="C68" s="102"/>
      <c r="D68" s="102"/>
      <c r="E68" s="102"/>
      <c r="F68" s="102"/>
      <c r="G68" s="102"/>
      <c r="H68" s="102"/>
      <c r="I68" s="102"/>
      <c r="J68" s="102"/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2"/>
      <c r="W68" s="102"/>
      <c r="X68" s="102"/>
    </row>
    <row r="69" spans="1:24">
      <c r="A69" s="102"/>
      <c r="B69" s="102"/>
      <c r="C69" s="102"/>
      <c r="D69" s="102"/>
      <c r="E69" s="102"/>
      <c r="F69" s="102"/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</row>
    <row r="70" spans="1:24">
      <c r="A70" s="102"/>
      <c r="B70" s="108" t="s">
        <v>172</v>
      </c>
      <c r="C70" s="102"/>
      <c r="D70" s="102"/>
      <c r="E70" s="102"/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</row>
    <row r="71" spans="1:24">
      <c r="A71" s="102"/>
      <c r="B71" s="110" t="s">
        <v>173</v>
      </c>
      <c r="C71" s="102"/>
      <c r="D71" s="102"/>
      <c r="E71" s="102"/>
      <c r="F71" s="102"/>
      <c r="G71" s="102"/>
      <c r="H71" s="102"/>
      <c r="I71" s="102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</row>
    <row r="72" spans="1:24">
      <c r="A72" s="102"/>
      <c r="B72" s="105" t="s">
        <v>174</v>
      </c>
      <c r="C72" s="102"/>
      <c r="D72" s="102"/>
      <c r="E72" s="102"/>
      <c r="F72" s="102"/>
      <c r="G72" s="102"/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</row>
    <row r="73" spans="1:24">
      <c r="A73" s="102"/>
      <c r="B73" s="106" t="s">
        <v>175</v>
      </c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</row>
    <row r="74" spans="1:24">
      <c r="A74" s="102"/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</row>
    <row r="75" spans="1:24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</row>
    <row r="76" spans="1:24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</row>
    <row r="77" spans="1:24">
      <c r="A77" s="102"/>
      <c r="B77" s="102"/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</row>
    <row r="78" spans="1:24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  <c r="X78" s="102"/>
    </row>
    <row r="79" spans="1:24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</row>
    <row r="80" spans="1:24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</row>
    <row r="81" spans="1:24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</row>
    <row r="82" spans="1:24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</row>
    <row r="83" spans="1:24">
      <c r="A83" s="102"/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2"/>
      <c r="W83" s="102"/>
      <c r="X83" s="102"/>
    </row>
    <row r="84" spans="1:24">
      <c r="A84" s="102"/>
      <c r="B84" s="102"/>
      <c r="C84" s="102"/>
      <c r="D84" s="102"/>
      <c r="E84" s="102"/>
      <c r="F84" s="102"/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2"/>
      <c r="W84" s="102"/>
      <c r="X84" s="102"/>
    </row>
    <row r="85" spans="1:24">
      <c r="A85" s="102"/>
      <c r="B85" s="103" t="s">
        <v>176</v>
      </c>
      <c r="C85" s="102"/>
      <c r="D85" s="102"/>
      <c r="E85" s="102"/>
      <c r="F85" s="102"/>
      <c r="G85" s="102"/>
      <c r="H85" s="102"/>
      <c r="I85" s="102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02"/>
      <c r="V85" s="102"/>
      <c r="W85" s="102"/>
      <c r="X85" s="102"/>
    </row>
    <row r="86" spans="1:24">
      <c r="A86" s="102"/>
      <c r="B86" s="102"/>
      <c r="C86" s="102"/>
      <c r="D86" s="102"/>
      <c r="E86" s="102"/>
      <c r="F86" s="102"/>
      <c r="G86" s="102"/>
      <c r="H86" s="102"/>
      <c r="I86" s="102"/>
      <c r="J86" s="102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2"/>
      <c r="W86" s="102"/>
      <c r="X86" s="102"/>
    </row>
    <row r="87" spans="1:24">
      <c r="A87" s="102"/>
      <c r="B87" s="112" t="s">
        <v>177</v>
      </c>
      <c r="C87" s="102"/>
      <c r="D87" s="102"/>
      <c r="E87" s="102"/>
      <c r="F87" s="102"/>
      <c r="G87" s="102"/>
      <c r="H87" s="102"/>
      <c r="I87" s="102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</row>
    <row r="88" spans="1:24">
      <c r="A88" s="102"/>
      <c r="B88" s="113" t="s">
        <v>178</v>
      </c>
      <c r="C88" s="102"/>
      <c r="D88" s="102"/>
      <c r="E88" s="102"/>
      <c r="F88" s="102"/>
      <c r="G88" s="102"/>
      <c r="H88" s="102"/>
      <c r="I88" s="102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</row>
    <row r="89" spans="1:24">
      <c r="A89" s="102"/>
      <c r="B89" s="102"/>
      <c r="C89" s="102"/>
      <c r="D89" s="102"/>
      <c r="E89" s="102"/>
      <c r="F89" s="102"/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2"/>
      <c r="W89" s="102"/>
      <c r="X89" s="102"/>
    </row>
    <row r="90" spans="1:24">
      <c r="A90" s="102"/>
      <c r="B90" s="102"/>
      <c r="C90" s="102"/>
      <c r="D90" s="102"/>
      <c r="E90" s="102"/>
      <c r="F90" s="102"/>
      <c r="G90" s="102"/>
      <c r="H90" s="102"/>
      <c r="I90" s="102"/>
      <c r="J90" s="102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2"/>
      <c r="W90" s="102"/>
      <c r="X90" s="102"/>
    </row>
    <row r="91" spans="1:24">
      <c r="A91" s="102"/>
      <c r="B91" s="102"/>
      <c r="C91" s="102"/>
      <c r="D91" s="102"/>
      <c r="E91" s="102"/>
      <c r="F91" s="102"/>
      <c r="G91" s="102"/>
      <c r="H91" s="102"/>
      <c r="I91" s="102"/>
      <c r="J91" s="102"/>
      <c r="K91" s="102"/>
      <c r="L91" s="102"/>
      <c r="M91" s="102"/>
      <c r="N91" s="102"/>
      <c r="O91" s="102"/>
      <c r="P91" s="102"/>
      <c r="Q91" s="102"/>
      <c r="R91" s="102"/>
      <c r="S91" s="102"/>
      <c r="T91" s="102"/>
      <c r="U91" s="102"/>
      <c r="V91" s="102"/>
      <c r="W91" s="102"/>
      <c r="X91" s="102"/>
    </row>
    <row r="92" spans="1:24">
      <c r="A92" s="102"/>
      <c r="B92" s="102"/>
      <c r="C92" s="102"/>
      <c r="D92" s="102"/>
      <c r="E92" s="102"/>
      <c r="F92" s="102"/>
      <c r="G92" s="102"/>
      <c r="H92" s="102"/>
      <c r="I92" s="102"/>
      <c r="J92" s="102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2"/>
      <c r="W92" s="102"/>
      <c r="X92" s="102"/>
    </row>
    <row r="93" spans="1:24">
      <c r="A93" s="102"/>
      <c r="B93" s="102"/>
      <c r="C93" s="102"/>
      <c r="D93" s="102"/>
      <c r="E93" s="102"/>
      <c r="F93" s="102"/>
      <c r="G93" s="102"/>
      <c r="H93" s="102"/>
      <c r="I93" s="102"/>
      <c r="J93" s="102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2"/>
      <c r="W93" s="102"/>
      <c r="X93" s="102"/>
    </row>
    <row r="94" spans="1:24">
      <c r="A94" s="102"/>
      <c r="B94" s="113" t="s">
        <v>179</v>
      </c>
      <c r="C94" s="102"/>
      <c r="D94" s="102"/>
      <c r="E94" s="102"/>
      <c r="F94" s="102"/>
      <c r="G94" s="102"/>
      <c r="H94" s="102"/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02"/>
      <c r="U94" s="102"/>
      <c r="V94" s="102"/>
      <c r="W94" s="102"/>
      <c r="X94" s="102"/>
    </row>
    <row r="95" spans="1:24">
      <c r="A95" s="102"/>
      <c r="B95" s="102"/>
      <c r="C95" s="102"/>
      <c r="D95" s="102"/>
      <c r="E95" s="102"/>
      <c r="F95" s="102"/>
      <c r="G95" s="102"/>
      <c r="H95" s="102"/>
      <c r="I95" s="102"/>
      <c r="J95" s="102"/>
      <c r="K95" s="102"/>
      <c r="L95" s="102"/>
      <c r="M95" s="102"/>
      <c r="N95" s="102"/>
      <c r="O95" s="102"/>
      <c r="P95" s="102"/>
      <c r="Q95" s="102"/>
      <c r="R95" s="102"/>
      <c r="S95" s="102"/>
      <c r="T95" s="102"/>
      <c r="U95" s="102"/>
      <c r="V95" s="102"/>
      <c r="W95" s="102"/>
      <c r="X95" s="102"/>
    </row>
    <row r="96" spans="1:24">
      <c r="A96" s="102"/>
      <c r="B96" s="102"/>
      <c r="C96" s="102"/>
      <c r="D96" s="102"/>
      <c r="E96" s="102"/>
      <c r="F96" s="102"/>
      <c r="G96" s="102"/>
      <c r="H96" s="102"/>
      <c r="I96" s="102"/>
      <c r="J96" s="102"/>
      <c r="K96" s="102"/>
      <c r="L96" s="102"/>
      <c r="M96" s="102"/>
      <c r="N96" s="102"/>
      <c r="O96" s="102"/>
      <c r="P96" s="102"/>
      <c r="Q96" s="102"/>
      <c r="R96" s="102"/>
      <c r="S96" s="102"/>
      <c r="T96" s="102"/>
      <c r="U96" s="102"/>
      <c r="V96" s="102"/>
      <c r="W96" s="102"/>
      <c r="X96" s="102"/>
    </row>
    <row r="97" spans="1:24">
      <c r="A97" s="102"/>
      <c r="B97" s="102"/>
      <c r="C97" s="102"/>
      <c r="D97" s="102"/>
      <c r="E97" s="102"/>
      <c r="F97" s="102"/>
      <c r="G97" s="102"/>
      <c r="H97" s="102"/>
      <c r="I97" s="102"/>
      <c r="J97" s="102"/>
      <c r="K97" s="102"/>
      <c r="L97" s="102"/>
      <c r="M97" s="102"/>
      <c r="N97" s="102"/>
      <c r="O97" s="102"/>
      <c r="P97" s="102"/>
      <c r="Q97" s="102"/>
      <c r="R97" s="102"/>
      <c r="S97" s="102"/>
      <c r="T97" s="102"/>
      <c r="U97" s="102"/>
      <c r="V97" s="102"/>
      <c r="W97" s="102"/>
      <c r="X97" s="102"/>
    </row>
    <row r="98" spans="1:24">
      <c r="A98" s="102"/>
      <c r="B98" s="102"/>
      <c r="C98" s="102"/>
      <c r="D98" s="102"/>
      <c r="E98" s="102"/>
      <c r="F98" s="102"/>
      <c r="G98" s="102"/>
      <c r="H98" s="102"/>
      <c r="I98" s="102"/>
      <c r="J98" s="102"/>
      <c r="K98" s="102"/>
      <c r="L98" s="102"/>
      <c r="M98" s="102"/>
      <c r="N98" s="102"/>
      <c r="O98" s="102"/>
      <c r="P98" s="102"/>
      <c r="Q98" s="102"/>
      <c r="R98" s="102"/>
      <c r="S98" s="102"/>
      <c r="T98" s="102"/>
      <c r="U98" s="102"/>
      <c r="V98" s="102"/>
      <c r="W98" s="102"/>
      <c r="X98" s="102"/>
    </row>
    <row r="99" spans="1:24">
      <c r="A99" s="102"/>
      <c r="B99" s="102"/>
      <c r="C99" s="102"/>
      <c r="D99" s="102"/>
      <c r="E99" s="102"/>
      <c r="F99" s="102"/>
      <c r="G99" s="102"/>
      <c r="H99" s="102"/>
      <c r="I99" s="102"/>
      <c r="J99" s="102"/>
      <c r="K99" s="102"/>
      <c r="L99" s="102"/>
      <c r="M99" s="102"/>
      <c r="N99" s="102"/>
      <c r="O99" s="102"/>
      <c r="P99" s="102"/>
      <c r="Q99" s="102"/>
      <c r="R99" s="102"/>
      <c r="S99" s="102"/>
      <c r="T99" s="102"/>
      <c r="U99" s="102"/>
      <c r="V99" s="102"/>
      <c r="W99" s="102"/>
      <c r="X99" s="102"/>
    </row>
    <row r="100" spans="1:24">
      <c r="A100" s="102"/>
      <c r="B100" s="113" t="s">
        <v>180</v>
      </c>
      <c r="C100" s="102"/>
      <c r="D100" s="102"/>
      <c r="E100" s="102"/>
      <c r="F100" s="102"/>
      <c r="G100" s="102"/>
      <c r="H100" s="102"/>
      <c r="I100" s="102"/>
      <c r="J100" s="102"/>
      <c r="K100" s="102"/>
      <c r="L100" s="102"/>
      <c r="M100" s="102"/>
      <c r="N100" s="102"/>
      <c r="O100" s="102"/>
      <c r="P100" s="102"/>
      <c r="Q100" s="102"/>
      <c r="R100" s="102"/>
      <c r="S100" s="102"/>
      <c r="T100" s="102"/>
      <c r="U100" s="102"/>
      <c r="V100" s="102"/>
      <c r="W100" s="102"/>
      <c r="X100" s="102"/>
    </row>
    <row r="101" spans="1:24">
      <c r="A101" s="102"/>
      <c r="B101" s="107" t="s">
        <v>181</v>
      </c>
      <c r="C101" s="102"/>
      <c r="D101" s="102"/>
      <c r="E101" s="102"/>
      <c r="F101" s="102"/>
      <c r="G101" s="102"/>
      <c r="H101" s="102"/>
      <c r="I101" s="102"/>
      <c r="J101" s="102"/>
      <c r="K101" s="102"/>
      <c r="L101" s="102"/>
      <c r="M101" s="102"/>
      <c r="N101" s="102"/>
      <c r="O101" s="102"/>
      <c r="P101" s="102"/>
      <c r="Q101" s="102"/>
      <c r="R101" s="102"/>
      <c r="S101" s="102"/>
      <c r="T101" s="102"/>
      <c r="U101" s="102"/>
      <c r="V101" s="102"/>
      <c r="W101" s="102"/>
      <c r="X101" s="102"/>
    </row>
    <row r="102" spans="1:24">
      <c r="A102" s="102"/>
      <c r="B102" s="107" t="s">
        <v>182</v>
      </c>
      <c r="C102" s="102"/>
      <c r="D102" s="102"/>
      <c r="E102" s="102"/>
      <c r="F102" s="102"/>
      <c r="G102" s="102"/>
      <c r="H102" s="102"/>
      <c r="I102" s="102"/>
      <c r="J102" s="102"/>
      <c r="K102" s="102"/>
      <c r="L102" s="102"/>
      <c r="M102" s="102"/>
      <c r="N102" s="102"/>
      <c r="O102" s="102"/>
      <c r="P102" s="102"/>
      <c r="Q102" s="102"/>
      <c r="R102" s="102"/>
      <c r="S102" s="102"/>
      <c r="T102" s="102"/>
      <c r="U102" s="102"/>
      <c r="V102" s="102"/>
      <c r="W102" s="102"/>
      <c r="X102" s="102"/>
    </row>
    <row r="103" spans="1:24">
      <c r="A103" s="102"/>
      <c r="B103" s="107" t="s">
        <v>183</v>
      </c>
      <c r="C103" s="102"/>
      <c r="D103" s="102"/>
      <c r="E103" s="102"/>
      <c r="F103" s="102"/>
      <c r="G103" s="102"/>
      <c r="H103" s="102"/>
      <c r="I103" s="102"/>
      <c r="J103" s="102"/>
      <c r="K103" s="102"/>
      <c r="L103" s="102"/>
      <c r="M103" s="102"/>
      <c r="N103" s="102"/>
      <c r="O103" s="102"/>
      <c r="P103" s="102"/>
      <c r="Q103" s="102"/>
      <c r="R103" s="102"/>
      <c r="S103" s="102"/>
      <c r="T103" s="102"/>
      <c r="U103" s="102"/>
      <c r="V103" s="102"/>
      <c r="W103" s="102"/>
      <c r="X103" s="102"/>
    </row>
    <row r="104" spans="1:24">
      <c r="A104" s="102"/>
      <c r="B104" s="107" t="s">
        <v>186</v>
      </c>
      <c r="C104" s="102"/>
      <c r="D104" s="102"/>
      <c r="E104" s="102"/>
      <c r="F104" s="102"/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102"/>
      <c r="R104" s="102"/>
      <c r="S104" s="102"/>
      <c r="T104" s="102"/>
      <c r="U104" s="102"/>
      <c r="V104" s="102"/>
      <c r="W104" s="102"/>
      <c r="X104" s="102"/>
    </row>
    <row r="105" spans="1:24">
      <c r="A105" s="102"/>
      <c r="B105" s="102"/>
      <c r="C105" s="102"/>
      <c r="D105" s="102"/>
      <c r="E105" s="102"/>
      <c r="F105" s="102"/>
      <c r="G105" s="102"/>
      <c r="H105" s="102"/>
      <c r="I105" s="102"/>
      <c r="J105" s="102"/>
      <c r="K105" s="102"/>
      <c r="L105" s="102"/>
      <c r="M105" s="102"/>
      <c r="N105" s="102"/>
      <c r="O105" s="102"/>
      <c r="P105" s="102"/>
      <c r="Q105" s="102"/>
      <c r="R105" s="102"/>
      <c r="S105" s="102"/>
      <c r="T105" s="102"/>
      <c r="U105" s="102"/>
      <c r="V105" s="102"/>
      <c r="W105" s="102"/>
      <c r="X105" s="102"/>
    </row>
    <row r="106" spans="1:24">
      <c r="A106" s="102"/>
      <c r="B106" s="102"/>
      <c r="C106" s="102"/>
      <c r="D106" s="102"/>
      <c r="E106" s="102"/>
      <c r="F106" s="102"/>
      <c r="G106" s="102"/>
      <c r="H106" s="102"/>
      <c r="I106" s="102"/>
      <c r="J106" s="102"/>
      <c r="K106" s="102"/>
      <c r="L106" s="102"/>
      <c r="M106" s="102"/>
      <c r="N106" s="102"/>
      <c r="O106" s="102"/>
      <c r="P106" s="102"/>
      <c r="Q106" s="102"/>
      <c r="R106" s="102"/>
      <c r="S106" s="102"/>
      <c r="T106" s="102"/>
      <c r="U106" s="102"/>
      <c r="V106" s="102"/>
      <c r="W106" s="102"/>
      <c r="X106" s="102"/>
    </row>
    <row r="107" spans="1:24">
      <c r="A107" s="102"/>
      <c r="B107" s="102"/>
      <c r="C107" s="102"/>
      <c r="D107" s="102"/>
      <c r="E107" s="102"/>
      <c r="F107" s="102"/>
      <c r="G107" s="102"/>
      <c r="H107" s="102"/>
      <c r="I107" s="102"/>
      <c r="J107" s="102"/>
      <c r="K107" s="102"/>
      <c r="L107" s="102"/>
      <c r="M107" s="102"/>
      <c r="N107" s="102"/>
      <c r="O107" s="102"/>
      <c r="P107" s="102"/>
      <c r="Q107" s="102"/>
      <c r="R107" s="102"/>
      <c r="S107" s="102"/>
      <c r="T107" s="102"/>
      <c r="U107" s="102"/>
      <c r="V107" s="102"/>
      <c r="W107" s="102"/>
      <c r="X107" s="102"/>
    </row>
    <row r="108" spans="1:24">
      <c r="A108" s="102"/>
      <c r="B108" s="102"/>
      <c r="C108" s="102"/>
      <c r="D108" s="102"/>
      <c r="E108" s="102"/>
      <c r="F108" s="102"/>
      <c r="G108" s="102"/>
      <c r="H108" s="102"/>
      <c r="I108" s="102"/>
      <c r="J108" s="102"/>
      <c r="K108" s="102"/>
      <c r="L108" s="102"/>
      <c r="M108" s="102"/>
      <c r="N108" s="102"/>
      <c r="O108" s="102"/>
      <c r="P108" s="102"/>
      <c r="Q108" s="102"/>
      <c r="R108" s="102"/>
      <c r="S108" s="102"/>
      <c r="T108" s="102"/>
      <c r="U108" s="102"/>
      <c r="V108" s="102"/>
      <c r="W108" s="102"/>
      <c r="X108" s="102"/>
    </row>
    <row r="109" spans="1:24">
      <c r="A109" s="102"/>
      <c r="B109" s="102"/>
      <c r="C109" s="102"/>
      <c r="D109" s="102"/>
      <c r="E109" s="102"/>
      <c r="F109" s="102"/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02"/>
      <c r="U109" s="102"/>
      <c r="V109" s="102"/>
      <c r="W109" s="102"/>
      <c r="X109" s="102"/>
    </row>
    <row r="110" spans="1:24">
      <c r="A110" s="102"/>
      <c r="B110" s="102"/>
      <c r="C110" s="102"/>
      <c r="D110" s="102"/>
      <c r="E110" s="102"/>
      <c r="F110" s="102"/>
      <c r="G110" s="102"/>
      <c r="H110" s="102"/>
      <c r="I110" s="102"/>
      <c r="J110" s="102"/>
      <c r="K110" s="102"/>
      <c r="L110" s="102"/>
      <c r="M110" s="102"/>
      <c r="N110" s="102"/>
      <c r="O110" s="102"/>
      <c r="P110" s="102"/>
      <c r="Q110" s="102"/>
      <c r="R110" s="102"/>
      <c r="S110" s="102"/>
      <c r="T110" s="102"/>
      <c r="U110" s="102"/>
      <c r="V110" s="102"/>
      <c r="W110" s="102"/>
      <c r="X110" s="102"/>
    </row>
    <row r="111" spans="1:24">
      <c r="A111" s="102"/>
      <c r="B111" s="102"/>
      <c r="C111" s="102"/>
      <c r="D111" s="102"/>
      <c r="E111" s="102"/>
      <c r="F111" s="102"/>
      <c r="G111" s="102"/>
      <c r="H111" s="102"/>
      <c r="I111" s="102"/>
      <c r="J111" s="102"/>
      <c r="K111" s="102"/>
      <c r="L111" s="102"/>
      <c r="M111" s="102"/>
      <c r="N111" s="102"/>
      <c r="O111" s="102"/>
      <c r="P111" s="102"/>
      <c r="Q111" s="102"/>
      <c r="R111" s="102"/>
      <c r="S111" s="102"/>
      <c r="T111" s="102"/>
      <c r="U111" s="102"/>
      <c r="V111" s="102"/>
      <c r="W111" s="102"/>
      <c r="X111" s="102"/>
    </row>
    <row r="112" spans="1:24">
      <c r="A112" s="102"/>
      <c r="B112" s="102"/>
      <c r="C112" s="102"/>
      <c r="D112" s="102"/>
      <c r="E112" s="102"/>
      <c r="F112" s="102"/>
      <c r="G112" s="102"/>
      <c r="H112" s="102"/>
      <c r="I112" s="102"/>
      <c r="J112" s="102"/>
      <c r="K112" s="102"/>
      <c r="L112" s="102"/>
      <c r="M112" s="102"/>
      <c r="N112" s="102"/>
      <c r="O112" s="102"/>
      <c r="P112" s="102"/>
      <c r="Q112" s="102"/>
      <c r="R112" s="102"/>
      <c r="S112" s="102"/>
      <c r="T112" s="102"/>
      <c r="U112" s="102"/>
      <c r="V112" s="102"/>
      <c r="W112" s="102"/>
      <c r="X112" s="102"/>
    </row>
    <row r="113" spans="1:24">
      <c r="A113" s="102"/>
      <c r="B113" s="102"/>
      <c r="C113" s="102"/>
      <c r="D113" s="102"/>
      <c r="E113" s="102"/>
      <c r="F113" s="102"/>
      <c r="G113" s="102"/>
      <c r="H113" s="102"/>
      <c r="I113" s="102"/>
      <c r="J113" s="102"/>
      <c r="K113" s="102"/>
      <c r="L113" s="102"/>
      <c r="M113" s="102"/>
      <c r="N113" s="102"/>
      <c r="O113" s="102"/>
      <c r="P113" s="102"/>
      <c r="Q113" s="102"/>
      <c r="R113" s="102"/>
      <c r="S113" s="102"/>
      <c r="T113" s="102"/>
      <c r="U113" s="102"/>
      <c r="V113" s="102"/>
      <c r="W113" s="102"/>
      <c r="X113" s="102"/>
    </row>
    <row r="114" spans="1:24">
      <c r="A114" s="102"/>
      <c r="B114" s="102"/>
      <c r="C114" s="102"/>
      <c r="D114" s="102"/>
      <c r="E114" s="102"/>
      <c r="F114" s="102"/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102"/>
      <c r="R114" s="102"/>
      <c r="S114" s="102"/>
      <c r="T114" s="102"/>
      <c r="U114" s="102"/>
      <c r="V114" s="102"/>
      <c r="W114" s="102"/>
      <c r="X114" s="102"/>
    </row>
    <row r="115" spans="1:24">
      <c r="A115" s="102"/>
      <c r="B115" s="102"/>
      <c r="C115" s="102"/>
      <c r="D115" s="102"/>
      <c r="E115" s="102"/>
      <c r="F115" s="102"/>
      <c r="G115" s="102"/>
      <c r="H115" s="102"/>
      <c r="I115" s="102"/>
      <c r="J115" s="102"/>
      <c r="K115" s="102"/>
      <c r="L115" s="102"/>
      <c r="M115" s="102"/>
      <c r="N115" s="102"/>
      <c r="O115" s="102"/>
      <c r="P115" s="102"/>
      <c r="Q115" s="102"/>
      <c r="R115" s="102"/>
      <c r="S115" s="102"/>
      <c r="T115" s="102"/>
      <c r="U115" s="102"/>
      <c r="V115" s="102"/>
      <c r="W115" s="102"/>
      <c r="X115" s="102"/>
    </row>
    <row r="116" spans="1:24">
      <c r="A116" s="102"/>
      <c r="B116" s="102"/>
      <c r="C116" s="102"/>
      <c r="D116" s="102"/>
      <c r="E116" s="102"/>
      <c r="F116" s="102"/>
      <c r="G116" s="102"/>
      <c r="H116" s="102"/>
      <c r="I116" s="102"/>
      <c r="J116" s="102"/>
      <c r="K116" s="102"/>
      <c r="L116" s="102"/>
      <c r="M116" s="102"/>
      <c r="N116" s="102"/>
      <c r="O116" s="102"/>
      <c r="P116" s="102"/>
      <c r="Q116" s="102"/>
      <c r="R116" s="102"/>
      <c r="S116" s="102"/>
      <c r="T116" s="102"/>
      <c r="U116" s="102"/>
      <c r="V116" s="102"/>
      <c r="W116" s="102"/>
      <c r="X116" s="102"/>
    </row>
    <row r="117" spans="1:24">
      <c r="A117" s="102"/>
      <c r="B117" s="102"/>
      <c r="C117" s="102"/>
      <c r="D117" s="102"/>
      <c r="E117" s="102"/>
      <c r="F117" s="102"/>
      <c r="G117" s="102"/>
      <c r="H117" s="102"/>
      <c r="I117" s="102"/>
      <c r="J117" s="102"/>
      <c r="K117" s="102"/>
      <c r="L117" s="102"/>
      <c r="M117" s="102"/>
      <c r="N117" s="102"/>
      <c r="O117" s="102"/>
      <c r="P117" s="102"/>
      <c r="Q117" s="102"/>
      <c r="R117" s="102"/>
      <c r="S117" s="102"/>
      <c r="T117" s="102"/>
      <c r="U117" s="102"/>
      <c r="V117" s="102"/>
      <c r="W117" s="102"/>
      <c r="X117" s="102"/>
    </row>
    <row r="118" spans="1:24">
      <c r="A118" s="102"/>
      <c r="B118" s="102"/>
      <c r="C118" s="102"/>
      <c r="D118" s="102"/>
      <c r="E118" s="102"/>
      <c r="F118" s="102"/>
      <c r="G118" s="102"/>
      <c r="H118" s="102"/>
      <c r="I118" s="102"/>
      <c r="J118" s="102"/>
      <c r="K118" s="102"/>
      <c r="L118" s="102"/>
      <c r="M118" s="102"/>
      <c r="N118" s="102"/>
      <c r="O118" s="102"/>
      <c r="P118" s="102"/>
      <c r="Q118" s="102"/>
      <c r="R118" s="102"/>
      <c r="S118" s="102"/>
      <c r="T118" s="102"/>
      <c r="U118" s="102"/>
      <c r="V118" s="102"/>
      <c r="W118" s="102"/>
      <c r="X118" s="102"/>
    </row>
    <row r="119" spans="1:24">
      <c r="A119" s="102"/>
      <c r="B119" s="102"/>
      <c r="C119" s="102"/>
      <c r="D119" s="102"/>
      <c r="E119" s="102"/>
      <c r="F119" s="102"/>
      <c r="G119" s="102"/>
      <c r="H119" s="102"/>
      <c r="I119" s="102"/>
      <c r="J119" s="102"/>
      <c r="K119" s="102"/>
      <c r="L119" s="102"/>
      <c r="M119" s="102"/>
      <c r="N119" s="102"/>
      <c r="O119" s="102"/>
      <c r="P119" s="102"/>
      <c r="Q119" s="102"/>
      <c r="R119" s="102"/>
      <c r="S119" s="102"/>
      <c r="T119" s="102"/>
      <c r="U119" s="102"/>
      <c r="V119" s="102"/>
      <c r="W119" s="102"/>
      <c r="X119" s="102"/>
    </row>
    <row r="120" spans="1:24">
      <c r="A120" s="102"/>
      <c r="B120" s="102"/>
      <c r="C120" s="102"/>
      <c r="D120" s="102"/>
      <c r="E120" s="102"/>
      <c r="F120" s="102"/>
      <c r="G120" s="102"/>
      <c r="H120" s="102"/>
      <c r="I120" s="102"/>
      <c r="J120" s="102"/>
      <c r="K120" s="102"/>
      <c r="L120" s="102"/>
      <c r="M120" s="102"/>
      <c r="N120" s="102"/>
      <c r="O120" s="102"/>
      <c r="P120" s="102"/>
      <c r="Q120" s="102"/>
      <c r="R120" s="102"/>
      <c r="S120" s="102"/>
      <c r="T120" s="102"/>
      <c r="U120" s="102"/>
      <c r="V120" s="102"/>
      <c r="W120" s="102"/>
      <c r="X120" s="102"/>
    </row>
    <row r="121" spans="1:24">
      <c r="A121" s="102"/>
      <c r="B121" s="102"/>
      <c r="C121" s="102"/>
      <c r="D121" s="102"/>
      <c r="E121" s="102"/>
      <c r="F121" s="102"/>
      <c r="G121" s="102"/>
      <c r="H121" s="102"/>
      <c r="I121" s="102"/>
      <c r="J121" s="102"/>
      <c r="K121" s="102"/>
      <c r="L121" s="102"/>
      <c r="M121" s="102"/>
      <c r="N121" s="102"/>
      <c r="O121" s="102"/>
      <c r="P121" s="102"/>
      <c r="Q121" s="102"/>
      <c r="R121" s="102"/>
      <c r="S121" s="102"/>
      <c r="T121" s="102"/>
      <c r="U121" s="102"/>
      <c r="V121" s="102"/>
      <c r="W121" s="102"/>
      <c r="X121" s="102"/>
    </row>
    <row r="122" spans="1:24">
      <c r="A122" s="102"/>
      <c r="B122" s="102"/>
      <c r="C122" s="102"/>
      <c r="D122" s="102"/>
      <c r="E122" s="102"/>
      <c r="F122" s="102"/>
      <c r="G122" s="102"/>
      <c r="H122" s="102"/>
      <c r="I122" s="102"/>
      <c r="J122" s="102"/>
      <c r="K122" s="102"/>
      <c r="L122" s="102"/>
      <c r="M122" s="102"/>
      <c r="N122" s="102"/>
      <c r="O122" s="102"/>
      <c r="P122" s="102"/>
      <c r="Q122" s="102"/>
      <c r="R122" s="102"/>
      <c r="S122" s="102"/>
      <c r="T122" s="102"/>
      <c r="U122" s="102"/>
      <c r="V122" s="102"/>
      <c r="W122" s="102"/>
      <c r="X122" s="102"/>
    </row>
    <row r="123" spans="1:24">
      <c r="A123" s="102"/>
      <c r="B123" s="102"/>
      <c r="C123" s="102"/>
      <c r="D123" s="102"/>
      <c r="E123" s="102"/>
      <c r="F123" s="102"/>
      <c r="G123" s="102"/>
      <c r="H123" s="102"/>
      <c r="I123" s="102"/>
      <c r="J123" s="102"/>
      <c r="K123" s="102"/>
      <c r="L123" s="102"/>
      <c r="M123" s="102"/>
      <c r="N123" s="102"/>
      <c r="O123" s="102"/>
      <c r="P123" s="102"/>
      <c r="Q123" s="102"/>
      <c r="R123" s="102"/>
      <c r="S123" s="102"/>
      <c r="T123" s="102"/>
      <c r="U123" s="102"/>
      <c r="V123" s="102"/>
      <c r="W123" s="102"/>
      <c r="X123" s="102"/>
    </row>
    <row r="124" spans="1:24">
      <c r="A124" s="102"/>
      <c r="B124" s="102"/>
      <c r="C124" s="102"/>
      <c r="D124" s="102"/>
      <c r="E124" s="102"/>
      <c r="F124" s="102"/>
      <c r="G124" s="102"/>
      <c r="H124" s="102"/>
      <c r="I124" s="102"/>
      <c r="J124" s="102"/>
      <c r="K124" s="102"/>
      <c r="L124" s="102"/>
      <c r="M124" s="102"/>
      <c r="N124" s="102"/>
      <c r="O124" s="102"/>
      <c r="P124" s="102"/>
      <c r="Q124" s="102"/>
      <c r="R124" s="102"/>
      <c r="S124" s="102"/>
      <c r="T124" s="102"/>
      <c r="U124" s="102"/>
      <c r="V124" s="102"/>
      <c r="W124" s="102"/>
      <c r="X124" s="102"/>
    </row>
    <row r="125" spans="1:24">
      <c r="A125" s="102"/>
      <c r="B125" s="102"/>
      <c r="C125" s="102"/>
      <c r="D125" s="102"/>
      <c r="E125" s="102"/>
      <c r="F125" s="102"/>
      <c r="G125" s="102"/>
      <c r="H125" s="102"/>
      <c r="I125" s="102"/>
      <c r="J125" s="102"/>
      <c r="K125" s="102"/>
      <c r="L125" s="102"/>
      <c r="M125" s="102"/>
      <c r="N125" s="102"/>
      <c r="O125" s="102"/>
      <c r="P125" s="102"/>
      <c r="Q125" s="102"/>
      <c r="R125" s="102"/>
      <c r="S125" s="102"/>
      <c r="T125" s="102"/>
      <c r="U125" s="102"/>
      <c r="V125" s="102"/>
      <c r="W125" s="102"/>
      <c r="X125" s="102"/>
    </row>
  </sheetData>
  <sheetProtection algorithmName="SHA-512" hashValue="Zq2D4bi7dTm9euDGznCEzGz0pY3ixvThY+uCs4xONoaH+0okoO2qXZJgfDdPtiimBmexpzwTCyEYLg8B2OL3pQ==" saltValue="JxnAH0y8chsQMKWls9hBnw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CO500"/>
  <sheetViews>
    <sheetView zoomScaleNormal="100" workbookViewId="0">
      <pane xSplit="2" ySplit="2" topLeftCell="L21" activePane="bottomRight" state="frozen"/>
      <selection activeCell="A3" sqref="A3:XFD3"/>
      <selection pane="topRight" activeCell="A3" sqref="A3:XFD3"/>
      <selection pane="bottomLeft" activeCell="A3" sqref="A3:XFD3"/>
      <selection pane="bottomRight" activeCell="R37" sqref="R37"/>
    </sheetView>
  </sheetViews>
  <sheetFormatPr defaultColWidth="9" defaultRowHeight="21.95" customHeight="1"/>
  <cols>
    <col min="1" max="1" width="21.7109375" style="53" customWidth="1"/>
    <col min="2" max="2" width="67.85546875" style="53" customWidth="1"/>
    <col min="3" max="3" width="26" style="53" customWidth="1"/>
    <col min="4" max="4" width="15.140625" style="53" customWidth="1"/>
    <col min="5" max="5" width="15.42578125" style="53" customWidth="1"/>
    <col min="6" max="6" width="13.85546875" style="72" customWidth="1"/>
    <col min="7" max="7" width="13.85546875" style="73" customWidth="1"/>
    <col min="8" max="8" width="13.85546875" style="74" customWidth="1"/>
    <col min="9" max="9" width="13.85546875" style="75" customWidth="1"/>
    <col min="10" max="10" width="13.85546875" style="76" customWidth="1"/>
    <col min="11" max="11" width="17.7109375" style="97" customWidth="1"/>
    <col min="12" max="12" width="4.5703125" style="54" customWidth="1"/>
    <col min="13" max="14" width="4.5703125" style="55" customWidth="1"/>
    <col min="15" max="15" width="4.5703125" style="56" customWidth="1"/>
    <col min="16" max="16" width="4.5703125" style="54" customWidth="1"/>
    <col min="17" max="18" width="4.5703125" style="55" customWidth="1"/>
    <col min="19" max="19" width="4.5703125" style="56" customWidth="1"/>
    <col min="20" max="20" width="4.5703125" style="54" customWidth="1"/>
    <col min="21" max="22" width="4.5703125" style="55" customWidth="1"/>
    <col min="23" max="23" width="4.5703125" style="56" customWidth="1"/>
    <col min="24" max="24" width="4.5703125" style="54" customWidth="1"/>
    <col min="25" max="26" width="4.5703125" style="55" customWidth="1"/>
    <col min="27" max="27" width="4.5703125" style="56" customWidth="1"/>
    <col min="28" max="31" width="4.5703125" style="98" customWidth="1"/>
    <col min="32" max="32" width="4.5703125" style="54" customWidth="1"/>
    <col min="33" max="34" width="4.5703125" style="55" customWidth="1"/>
    <col min="35" max="35" width="4.5703125" style="56" customWidth="1"/>
    <col min="36" max="36" width="4.5703125" style="54" customWidth="1"/>
    <col min="37" max="38" width="4.5703125" style="55" customWidth="1"/>
    <col min="39" max="39" width="4.5703125" style="56" customWidth="1"/>
    <col min="40" max="40" width="4.5703125" style="54" customWidth="1"/>
    <col min="41" max="42" width="4.5703125" style="55" customWidth="1"/>
    <col min="43" max="43" width="4.5703125" style="56" customWidth="1"/>
    <col min="44" max="44" width="4.5703125" style="54" customWidth="1"/>
    <col min="45" max="46" width="4.5703125" style="55" customWidth="1"/>
    <col min="47" max="47" width="4.5703125" style="56" customWidth="1"/>
    <col min="48" max="49" width="5.28515625" style="98" customWidth="1"/>
    <col min="50" max="50" width="5.28515625" style="54" customWidth="1"/>
    <col min="51" max="51" width="5.28515625" style="56" customWidth="1"/>
    <col min="52" max="52" width="4.5703125" style="54" customWidth="1"/>
    <col min="53" max="54" width="4.5703125" style="55" customWidth="1"/>
    <col min="55" max="55" width="4.5703125" style="56" customWidth="1"/>
    <col min="56" max="56" width="4.5703125" style="54" customWidth="1"/>
    <col min="57" max="58" width="4.5703125" style="55" customWidth="1"/>
    <col min="59" max="59" width="4.5703125" style="56" customWidth="1"/>
    <col min="60" max="60" width="4.5703125" style="54" customWidth="1"/>
    <col min="61" max="62" width="4.5703125" style="55" customWidth="1"/>
    <col min="63" max="63" width="4.5703125" style="56" customWidth="1"/>
    <col min="64" max="64" width="4.5703125" style="54" customWidth="1"/>
    <col min="65" max="66" width="4.5703125" style="55" customWidth="1"/>
    <col min="67" max="67" width="4.5703125" style="56" customWidth="1"/>
    <col min="68" max="68" width="4.5703125" style="54" customWidth="1"/>
    <col min="69" max="70" width="4.5703125" style="55" customWidth="1"/>
    <col min="71" max="71" width="4.5703125" style="56" customWidth="1"/>
    <col min="72" max="79" width="9" style="99"/>
    <col min="80" max="93" width="9" style="59"/>
    <col min="94" max="16384" width="9" style="52"/>
  </cols>
  <sheetData>
    <row r="1" spans="1:93" ht="14.25" hidden="1" customHeight="1">
      <c r="A1" s="48"/>
      <c r="B1" s="48"/>
      <c r="C1" s="48"/>
      <c r="D1" s="48"/>
      <c r="E1" s="48"/>
      <c r="F1" s="62"/>
      <c r="G1" s="63"/>
      <c r="H1" s="64"/>
      <c r="I1" s="65"/>
      <c r="J1" s="66"/>
      <c r="K1" s="95"/>
      <c r="L1" s="49"/>
      <c r="M1" s="50"/>
      <c r="N1" s="50"/>
      <c r="O1" s="51"/>
      <c r="P1" s="49"/>
      <c r="Q1" s="50"/>
      <c r="R1" s="50"/>
      <c r="S1" s="51"/>
      <c r="T1" s="49"/>
      <c r="U1" s="50"/>
      <c r="V1" s="50"/>
      <c r="W1" s="51"/>
      <c r="X1" s="49"/>
      <c r="Y1" s="50"/>
      <c r="Z1" s="50"/>
      <c r="AA1" s="51"/>
      <c r="AF1" s="49"/>
      <c r="AG1" s="50"/>
      <c r="AH1" s="50"/>
      <c r="AI1" s="51"/>
      <c r="AJ1" s="49"/>
      <c r="AK1" s="50"/>
      <c r="AL1" s="50"/>
      <c r="AM1" s="51"/>
      <c r="AN1" s="49"/>
      <c r="AO1" s="50"/>
      <c r="AP1" s="50"/>
      <c r="AQ1" s="51"/>
      <c r="AR1" s="49"/>
      <c r="AS1" s="50"/>
      <c r="AT1" s="50"/>
      <c r="AU1" s="51"/>
      <c r="AX1" s="49"/>
      <c r="AY1" s="51"/>
      <c r="AZ1" s="49"/>
      <c r="BA1" s="50"/>
      <c r="BB1" s="50"/>
      <c r="BC1" s="51"/>
      <c r="BD1" s="49"/>
      <c r="BE1" s="50"/>
      <c r="BF1" s="50"/>
      <c r="BG1" s="51"/>
      <c r="BH1" s="49"/>
      <c r="BI1" s="50"/>
      <c r="BJ1" s="50"/>
      <c r="BK1" s="51"/>
      <c r="BL1" s="49"/>
      <c r="BM1" s="50"/>
      <c r="BN1" s="50"/>
      <c r="BO1" s="51"/>
      <c r="BP1" s="49"/>
      <c r="BQ1" s="50"/>
      <c r="BR1" s="50"/>
      <c r="BS1" s="51"/>
    </row>
    <row r="2" spans="1:93" s="39" customFormat="1" ht="45" customHeight="1">
      <c r="A2" s="60" t="s">
        <v>60</v>
      </c>
      <c r="B2" s="60" t="s">
        <v>125</v>
      </c>
      <c r="C2" s="61" t="s">
        <v>126</v>
      </c>
      <c r="D2" s="61" t="s">
        <v>31</v>
      </c>
      <c r="E2" s="61" t="s">
        <v>30</v>
      </c>
      <c r="F2" s="67" t="s">
        <v>99</v>
      </c>
      <c r="G2" s="68" t="s">
        <v>150</v>
      </c>
      <c r="H2" s="69" t="s">
        <v>151</v>
      </c>
      <c r="I2" s="70" t="s">
        <v>152</v>
      </c>
      <c r="J2" s="71" t="s">
        <v>153</v>
      </c>
      <c r="K2" s="96" t="s">
        <v>154</v>
      </c>
      <c r="L2" s="133">
        <v>0.33333333333333331</v>
      </c>
      <c r="M2" s="134"/>
      <c r="N2" s="134"/>
      <c r="O2" s="135"/>
      <c r="P2" s="136">
        <f>TIME(HOUR(L2), MINUTE(L2) + 60,0)</f>
        <v>0.375</v>
      </c>
      <c r="Q2" s="137"/>
      <c r="R2" s="137"/>
      <c r="S2" s="138"/>
      <c r="T2" s="133">
        <f>TIME(HOUR(P2), MINUTE(P2) + 60,0)</f>
        <v>0.41666666666666669</v>
      </c>
      <c r="U2" s="134"/>
      <c r="V2" s="134"/>
      <c r="W2" s="135"/>
      <c r="X2" s="136">
        <f>TIME(HOUR(T2), MINUTE(T2) + 60,0)</f>
        <v>0.45833333333333331</v>
      </c>
      <c r="Y2" s="137"/>
      <c r="Z2" s="137"/>
      <c r="AA2" s="138"/>
      <c r="AB2" s="139">
        <f>TIME(HOUR(X2), MINUTE(X2) + 60,0)</f>
        <v>0.5</v>
      </c>
      <c r="AC2" s="140"/>
      <c r="AD2" s="140"/>
      <c r="AE2" s="140"/>
      <c r="AF2" s="133">
        <f>TIME(HOUR(AB2), MINUTE(AB2) + 60,0)</f>
        <v>0.54166666666666663</v>
      </c>
      <c r="AG2" s="134"/>
      <c r="AH2" s="134"/>
      <c r="AI2" s="135"/>
      <c r="AJ2" s="136">
        <f>TIME(HOUR(AF2), MINUTE(AF2) + 60,0)</f>
        <v>0.58333333333333337</v>
      </c>
      <c r="AK2" s="137"/>
      <c r="AL2" s="137"/>
      <c r="AM2" s="138"/>
      <c r="AN2" s="133">
        <f>TIME(HOUR(AJ2), MINUTE(AJ2) + 60,0)</f>
        <v>0.625</v>
      </c>
      <c r="AO2" s="134"/>
      <c r="AP2" s="134"/>
      <c r="AQ2" s="135"/>
      <c r="AR2" s="136">
        <f>TIME(HOUR(AN2), MINUTE(AN2) + 60,0)</f>
        <v>0.66666666666666663</v>
      </c>
      <c r="AS2" s="137"/>
      <c r="AT2" s="137"/>
      <c r="AU2" s="138"/>
      <c r="AV2" s="144">
        <f>TIME(HOUR(AR2), MINUTE(AR2) + 60,0)</f>
        <v>0.70833333333333337</v>
      </c>
      <c r="AW2" s="145"/>
      <c r="AX2" s="141">
        <f>TIME(HOUR(AV2), MINUTE(AV2)+30,0)</f>
        <v>0.72916666666666663</v>
      </c>
      <c r="AY2" s="143"/>
      <c r="AZ2" s="141">
        <f>TIME(HOUR(AX2), MINUTE(AX2) + 30,0)</f>
        <v>0.75</v>
      </c>
      <c r="BA2" s="142"/>
      <c r="BB2" s="142"/>
      <c r="BC2" s="143"/>
      <c r="BD2" s="141">
        <f>TIME(HOUR(AZ2), MINUTE(AZ2) + 60,0)</f>
        <v>0.79166666666666663</v>
      </c>
      <c r="BE2" s="142"/>
      <c r="BF2" s="142"/>
      <c r="BG2" s="143"/>
      <c r="BH2" s="141">
        <f>TIME(HOUR(BD2), MINUTE(BD2) + 60,0)</f>
        <v>0.83333333333333337</v>
      </c>
      <c r="BI2" s="142"/>
      <c r="BJ2" s="142"/>
      <c r="BK2" s="143"/>
      <c r="BL2" s="141">
        <f>TIME(HOUR(BH2), MINUTE(BH2) + 60,0)</f>
        <v>0.875</v>
      </c>
      <c r="BM2" s="142"/>
      <c r="BN2" s="142"/>
      <c r="BO2" s="143"/>
      <c r="BP2" s="141">
        <f>TIME(HOUR(BL2), MINUTE(BL2) + 60,0)</f>
        <v>0.91666666666666663</v>
      </c>
      <c r="BQ2" s="142"/>
      <c r="BR2" s="142"/>
      <c r="BS2" s="143"/>
      <c r="BT2" s="99"/>
      <c r="BU2" s="99"/>
      <c r="BV2" s="99"/>
      <c r="BW2" s="99"/>
      <c r="BX2" s="99"/>
      <c r="BY2" s="99"/>
      <c r="BZ2" s="99"/>
      <c r="CA2" s="9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</row>
    <row r="3" spans="1:93" ht="21.95" customHeight="1">
      <c r="A3" s="53" t="s">
        <v>133</v>
      </c>
      <c r="B3" s="53" t="s">
        <v>133</v>
      </c>
      <c r="C3" s="53" t="s">
        <v>48</v>
      </c>
      <c r="D3" s="53" t="s">
        <v>3</v>
      </c>
      <c r="E3" s="53" t="s">
        <v>188</v>
      </c>
      <c r="F3" s="72">
        <f t="shared" ref="F3:F66" si="0">COUNTIF(L3:AA3,2)*15/60+COUNTIF(AF3:AU3,2)*15/60+COUNTIF(AX3:BS3,4)*15/60</f>
        <v>6.5</v>
      </c>
      <c r="G3" s="73">
        <f t="shared" ref="G3:G66" si="1">COUNTIF(L3:AA3,2)*15/60 + COUNTIF(AF3:AU3,2)*15/60 + COUNTIF(L3:AA3,3)*15/60 + COUNTIF(AF3:AU3,3)*15/60 + COUNTIF(AX3:BS3,4)*15/60</f>
        <v>6.5</v>
      </c>
      <c r="H3" s="74">
        <f t="shared" ref="H3:H66" si="2">F3-G3</f>
        <v>0</v>
      </c>
      <c r="I3" s="75">
        <f t="shared" ref="I3:I66" si="3">COUNTIF(AX3:BS3,4)*15/60</f>
        <v>0</v>
      </c>
      <c r="J3" s="76">
        <f t="shared" ref="J3:J66" si="4">COUNTIF(L3:AA3,5)*15/60 + COUNTIF(AF3:AU3,5)*15/60</f>
        <v>0</v>
      </c>
      <c r="K3" s="97">
        <v>45839</v>
      </c>
      <c r="L3" s="54">
        <v>2</v>
      </c>
      <c r="M3" s="55">
        <v>2</v>
      </c>
      <c r="N3" s="55">
        <v>2</v>
      </c>
      <c r="O3" s="56">
        <v>2</v>
      </c>
      <c r="R3" s="55">
        <v>2</v>
      </c>
      <c r="S3" s="56">
        <v>2</v>
      </c>
      <c r="T3" s="54">
        <v>2</v>
      </c>
      <c r="U3" s="55">
        <v>2</v>
      </c>
      <c r="V3" s="55">
        <v>2</v>
      </c>
      <c r="W3" s="56">
        <v>2</v>
      </c>
      <c r="X3" s="54">
        <v>2</v>
      </c>
      <c r="Y3" s="55">
        <v>2</v>
      </c>
      <c r="Z3" s="55">
        <v>2</v>
      </c>
      <c r="AA3" s="56">
        <v>2</v>
      </c>
      <c r="AF3" s="54">
        <v>2</v>
      </c>
      <c r="AG3" s="55">
        <v>2</v>
      </c>
      <c r="AL3" s="55">
        <v>2</v>
      </c>
      <c r="AM3" s="56">
        <v>2</v>
      </c>
      <c r="AN3" s="54">
        <v>2</v>
      </c>
      <c r="AO3" s="55">
        <v>2</v>
      </c>
      <c r="AP3" s="55">
        <v>2</v>
      </c>
      <c r="AQ3" s="56">
        <v>2</v>
      </c>
      <c r="AR3" s="54">
        <v>2</v>
      </c>
      <c r="AS3" s="55">
        <v>2</v>
      </c>
      <c r="AT3" s="55">
        <v>2</v>
      </c>
      <c r="AU3" s="56">
        <v>2</v>
      </c>
    </row>
    <row r="4" spans="1:93" ht="21.95" customHeight="1">
      <c r="A4" s="53" t="s">
        <v>205</v>
      </c>
      <c r="B4" s="53" t="s">
        <v>204</v>
      </c>
      <c r="C4" s="53" t="s">
        <v>106</v>
      </c>
      <c r="D4" s="53" t="s">
        <v>3</v>
      </c>
      <c r="E4" s="53" t="s">
        <v>188</v>
      </c>
      <c r="F4" s="72">
        <f t="shared" si="0"/>
        <v>0.5</v>
      </c>
      <c r="G4" s="73">
        <f t="shared" si="1"/>
        <v>0.5</v>
      </c>
      <c r="H4" s="74">
        <f t="shared" si="2"/>
        <v>0</v>
      </c>
      <c r="I4" s="75">
        <f t="shared" si="3"/>
        <v>0</v>
      </c>
      <c r="J4" s="76">
        <f t="shared" si="4"/>
        <v>0</v>
      </c>
      <c r="K4" s="97">
        <v>45839</v>
      </c>
      <c r="P4" s="54">
        <v>2</v>
      </c>
      <c r="Q4" s="55">
        <v>2</v>
      </c>
    </row>
    <row r="5" spans="1:93" ht="21.95" customHeight="1">
      <c r="A5" s="53" t="s">
        <v>41</v>
      </c>
      <c r="B5" s="53" t="s">
        <v>206</v>
      </c>
      <c r="C5" s="53" t="s">
        <v>48</v>
      </c>
      <c r="D5" s="53" t="s">
        <v>3</v>
      </c>
      <c r="E5" s="53" t="s">
        <v>188</v>
      </c>
      <c r="F5" s="72">
        <f t="shared" si="0"/>
        <v>1</v>
      </c>
      <c r="G5" s="73">
        <f t="shared" si="1"/>
        <v>1</v>
      </c>
      <c r="H5" s="74">
        <f t="shared" si="2"/>
        <v>0</v>
      </c>
      <c r="I5" s="75">
        <f t="shared" si="3"/>
        <v>0</v>
      </c>
      <c r="J5" s="76">
        <f t="shared" si="4"/>
        <v>0</v>
      </c>
      <c r="K5" s="97">
        <v>45839</v>
      </c>
      <c r="AH5" s="55">
        <v>2</v>
      </c>
      <c r="AI5" s="56">
        <v>2</v>
      </c>
      <c r="AJ5" s="54">
        <v>2</v>
      </c>
      <c r="AK5" s="55">
        <v>2</v>
      </c>
    </row>
    <row r="6" spans="1:93" ht="21.95" customHeight="1">
      <c r="A6" s="53" t="s">
        <v>207</v>
      </c>
      <c r="B6" s="53" t="s">
        <v>208</v>
      </c>
      <c r="C6" s="53" t="s">
        <v>104</v>
      </c>
      <c r="D6" s="53" t="s">
        <v>3</v>
      </c>
      <c r="E6" s="53" t="s">
        <v>188</v>
      </c>
      <c r="F6" s="72">
        <f t="shared" si="0"/>
        <v>0.5</v>
      </c>
      <c r="G6" s="73">
        <f t="shared" si="1"/>
        <v>0.5</v>
      </c>
      <c r="H6" s="74">
        <f t="shared" si="2"/>
        <v>0</v>
      </c>
      <c r="I6" s="75">
        <f t="shared" si="3"/>
        <v>0</v>
      </c>
      <c r="J6" s="76">
        <f t="shared" si="4"/>
        <v>0</v>
      </c>
      <c r="K6" s="97">
        <v>45840</v>
      </c>
      <c r="L6" s="54">
        <v>2</v>
      </c>
      <c r="M6" s="55">
        <v>2</v>
      </c>
    </row>
    <row r="7" spans="1:93" ht="21.95" customHeight="1">
      <c r="A7" s="53" t="s">
        <v>207</v>
      </c>
      <c r="B7" s="53" t="s">
        <v>208</v>
      </c>
      <c r="C7" s="53" t="s">
        <v>47</v>
      </c>
      <c r="D7" s="53" t="s">
        <v>3</v>
      </c>
      <c r="E7" s="53" t="s">
        <v>188</v>
      </c>
      <c r="F7" s="72">
        <f t="shared" si="0"/>
        <v>1.5</v>
      </c>
      <c r="G7" s="73">
        <f t="shared" si="1"/>
        <v>1.5</v>
      </c>
      <c r="H7" s="74">
        <f t="shared" si="2"/>
        <v>0</v>
      </c>
      <c r="I7" s="75">
        <f t="shared" si="3"/>
        <v>0</v>
      </c>
      <c r="J7" s="76">
        <f t="shared" si="4"/>
        <v>0</v>
      </c>
      <c r="K7" s="97">
        <v>45840</v>
      </c>
      <c r="N7" s="55">
        <v>2</v>
      </c>
      <c r="O7" s="56">
        <v>2</v>
      </c>
      <c r="P7" s="54">
        <v>2</v>
      </c>
      <c r="Q7" s="55">
        <v>2</v>
      </c>
      <c r="R7" s="55">
        <v>2</v>
      </c>
      <c r="S7" s="56">
        <v>2</v>
      </c>
    </row>
    <row r="8" spans="1:93" ht="21.95" customHeight="1">
      <c r="A8" s="53" t="s">
        <v>207</v>
      </c>
      <c r="B8" s="53" t="s">
        <v>208</v>
      </c>
      <c r="C8" s="53" t="s">
        <v>107</v>
      </c>
      <c r="D8" s="53" t="s">
        <v>3</v>
      </c>
      <c r="E8" s="53" t="s">
        <v>188</v>
      </c>
      <c r="F8" s="72">
        <f t="shared" si="0"/>
        <v>0.5</v>
      </c>
      <c r="G8" s="73">
        <f t="shared" si="1"/>
        <v>1</v>
      </c>
      <c r="H8" s="74">
        <f t="shared" si="2"/>
        <v>-0.5</v>
      </c>
      <c r="I8" s="75">
        <f t="shared" si="3"/>
        <v>0</v>
      </c>
      <c r="J8" s="76">
        <f t="shared" si="4"/>
        <v>0</v>
      </c>
      <c r="K8" s="97">
        <v>45840</v>
      </c>
      <c r="T8" s="54">
        <v>2</v>
      </c>
      <c r="U8" s="55">
        <v>2</v>
      </c>
      <c r="V8" s="55">
        <v>3</v>
      </c>
      <c r="W8" s="56">
        <v>3</v>
      </c>
    </row>
    <row r="9" spans="1:93" ht="21.95" customHeight="1">
      <c r="A9" s="53" t="s">
        <v>133</v>
      </c>
      <c r="B9" s="53" t="s">
        <v>133</v>
      </c>
      <c r="C9" s="53" t="s">
        <v>48</v>
      </c>
      <c r="D9" s="53" t="s">
        <v>3</v>
      </c>
      <c r="E9" s="53" t="s">
        <v>188</v>
      </c>
      <c r="F9" s="72">
        <f t="shared" si="0"/>
        <v>4.5</v>
      </c>
      <c r="G9" s="73">
        <f t="shared" si="1"/>
        <v>4.5</v>
      </c>
      <c r="H9" s="74">
        <f t="shared" si="2"/>
        <v>0</v>
      </c>
      <c r="I9" s="75">
        <f t="shared" si="3"/>
        <v>0</v>
      </c>
      <c r="J9" s="76">
        <f t="shared" si="4"/>
        <v>0</v>
      </c>
      <c r="K9" s="97">
        <v>45840</v>
      </c>
      <c r="X9" s="54">
        <v>2</v>
      </c>
      <c r="Y9" s="55">
        <v>2</v>
      </c>
      <c r="Z9" s="55">
        <v>2</v>
      </c>
      <c r="AA9" s="56">
        <v>2</v>
      </c>
      <c r="AF9" s="54">
        <v>2</v>
      </c>
      <c r="AG9" s="55">
        <v>2</v>
      </c>
      <c r="AH9" s="55">
        <v>2</v>
      </c>
      <c r="AI9" s="56">
        <v>2</v>
      </c>
      <c r="AJ9" s="54">
        <v>2</v>
      </c>
      <c r="AK9" s="55">
        <v>2</v>
      </c>
      <c r="AL9" s="55">
        <v>2</v>
      </c>
      <c r="AM9" s="56">
        <v>2</v>
      </c>
      <c r="AN9" s="54">
        <v>2</v>
      </c>
      <c r="AO9" s="55">
        <v>2</v>
      </c>
      <c r="AP9" s="55">
        <v>2</v>
      </c>
      <c r="AQ9" s="56">
        <v>2</v>
      </c>
      <c r="AT9" s="55">
        <v>2</v>
      </c>
      <c r="AU9" s="56">
        <v>2</v>
      </c>
    </row>
    <row r="10" spans="1:93" ht="21.95" customHeight="1">
      <c r="A10" s="53" t="s">
        <v>207</v>
      </c>
      <c r="B10" s="53" t="s">
        <v>208</v>
      </c>
      <c r="C10" s="53" t="s">
        <v>106</v>
      </c>
      <c r="D10" s="53" t="s">
        <v>3</v>
      </c>
      <c r="E10" s="53" t="s">
        <v>188</v>
      </c>
      <c r="F10" s="72">
        <f t="shared" si="0"/>
        <v>0.5</v>
      </c>
      <c r="G10" s="73">
        <f t="shared" si="1"/>
        <v>0.5</v>
      </c>
      <c r="H10" s="74">
        <f t="shared" si="2"/>
        <v>0</v>
      </c>
      <c r="I10" s="75">
        <f t="shared" si="3"/>
        <v>0</v>
      </c>
      <c r="J10" s="76">
        <f t="shared" si="4"/>
        <v>0</v>
      </c>
      <c r="K10" s="97">
        <v>45840</v>
      </c>
      <c r="AR10" s="54">
        <v>2</v>
      </c>
      <c r="AS10" s="55">
        <v>2</v>
      </c>
    </row>
    <row r="11" spans="1:93" ht="21.95" customHeight="1">
      <c r="A11" s="53" t="s">
        <v>133</v>
      </c>
      <c r="B11" s="53" t="s">
        <v>133</v>
      </c>
      <c r="C11" s="53" t="s">
        <v>48</v>
      </c>
      <c r="D11" s="53" t="s">
        <v>3</v>
      </c>
      <c r="E11" s="53" t="s">
        <v>188</v>
      </c>
      <c r="F11" s="72">
        <f t="shared" si="0"/>
        <v>7.75</v>
      </c>
      <c r="G11" s="73">
        <f t="shared" si="1"/>
        <v>7.75</v>
      </c>
      <c r="H11" s="74">
        <f t="shared" si="2"/>
        <v>0</v>
      </c>
      <c r="I11" s="75">
        <f t="shared" si="3"/>
        <v>0</v>
      </c>
      <c r="J11" s="76">
        <f t="shared" si="4"/>
        <v>0</v>
      </c>
      <c r="K11" s="97">
        <v>45841</v>
      </c>
      <c r="L11" s="54">
        <v>2</v>
      </c>
      <c r="M11" s="55">
        <v>2</v>
      </c>
      <c r="N11" s="55">
        <v>2</v>
      </c>
      <c r="O11" s="56">
        <v>2</v>
      </c>
      <c r="P11" s="54">
        <v>2</v>
      </c>
      <c r="Q11" s="55">
        <v>2</v>
      </c>
      <c r="R11" s="55">
        <v>2</v>
      </c>
      <c r="S11" s="56">
        <v>2</v>
      </c>
      <c r="U11" s="55">
        <v>2</v>
      </c>
      <c r="V11" s="55">
        <v>2</v>
      </c>
      <c r="W11" s="56">
        <v>2</v>
      </c>
      <c r="X11" s="54">
        <v>2</v>
      </c>
      <c r="Y11" s="55">
        <v>2</v>
      </c>
      <c r="Z11" s="55">
        <v>2</v>
      </c>
      <c r="AA11" s="56">
        <v>2</v>
      </c>
      <c r="AF11" s="54">
        <v>2</v>
      </c>
      <c r="AG11" s="55">
        <v>2</v>
      </c>
      <c r="AH11" s="55">
        <v>2</v>
      </c>
      <c r="AI11" s="56">
        <v>2</v>
      </c>
      <c r="AJ11" s="54">
        <v>2</v>
      </c>
      <c r="AK11" s="55">
        <v>2</v>
      </c>
      <c r="AL11" s="55">
        <v>2</v>
      </c>
      <c r="AM11" s="56">
        <v>2</v>
      </c>
      <c r="AN11" s="54">
        <v>2</v>
      </c>
      <c r="AO11" s="55">
        <v>2</v>
      </c>
      <c r="AP11" s="55">
        <v>2</v>
      </c>
      <c r="AQ11" s="56">
        <v>2</v>
      </c>
      <c r="AR11" s="54">
        <v>2</v>
      </c>
      <c r="AS11" s="55">
        <v>2</v>
      </c>
      <c r="AT11" s="55">
        <v>2</v>
      </c>
      <c r="AU11" s="56">
        <v>2</v>
      </c>
    </row>
    <row r="12" spans="1:93" ht="21.95" customHeight="1">
      <c r="A12" s="53" t="s">
        <v>207</v>
      </c>
      <c r="B12" s="53" t="s">
        <v>208</v>
      </c>
      <c r="C12" s="53" t="s">
        <v>44</v>
      </c>
      <c r="D12" s="53" t="s">
        <v>3</v>
      </c>
      <c r="E12" s="53" t="s">
        <v>188</v>
      </c>
      <c r="F12" s="72">
        <f t="shared" si="0"/>
        <v>0.25</v>
      </c>
      <c r="G12" s="73">
        <f t="shared" si="1"/>
        <v>0.25</v>
      </c>
      <c r="H12" s="74">
        <f t="shared" si="2"/>
        <v>0</v>
      </c>
      <c r="I12" s="75">
        <f t="shared" si="3"/>
        <v>0</v>
      </c>
      <c r="J12" s="76">
        <f t="shared" si="4"/>
        <v>0</v>
      </c>
      <c r="K12" s="97">
        <v>45841</v>
      </c>
      <c r="T12" s="54">
        <v>2</v>
      </c>
    </row>
    <row r="13" spans="1:93" ht="21.95" customHeight="1">
      <c r="A13" s="53" t="s">
        <v>133</v>
      </c>
      <c r="B13" s="53" t="s">
        <v>133</v>
      </c>
      <c r="C13" s="53" t="s">
        <v>48</v>
      </c>
      <c r="D13" s="53" t="s">
        <v>3</v>
      </c>
      <c r="E13" s="53" t="s">
        <v>188</v>
      </c>
      <c r="F13" s="72">
        <f t="shared" si="0"/>
        <v>7.25</v>
      </c>
      <c r="G13" s="73">
        <f t="shared" si="1"/>
        <v>7.25</v>
      </c>
      <c r="H13" s="74">
        <f t="shared" si="2"/>
        <v>0</v>
      </c>
      <c r="I13" s="75">
        <f t="shared" si="3"/>
        <v>0</v>
      </c>
      <c r="J13" s="76">
        <f t="shared" si="4"/>
        <v>0</v>
      </c>
      <c r="K13" s="97">
        <v>45842</v>
      </c>
      <c r="L13" s="54">
        <v>2</v>
      </c>
      <c r="M13" s="55">
        <v>2</v>
      </c>
      <c r="N13" s="55">
        <v>2</v>
      </c>
      <c r="O13" s="56">
        <v>2</v>
      </c>
      <c r="P13" s="54">
        <v>2</v>
      </c>
      <c r="Q13" s="55">
        <v>2</v>
      </c>
      <c r="R13" s="55">
        <v>2</v>
      </c>
      <c r="S13" s="56">
        <v>2</v>
      </c>
      <c r="T13" s="54">
        <v>2</v>
      </c>
      <c r="U13" s="55">
        <v>2</v>
      </c>
      <c r="V13" s="55">
        <v>2</v>
      </c>
      <c r="W13" s="56">
        <v>2</v>
      </c>
      <c r="X13" s="54">
        <v>2</v>
      </c>
      <c r="Y13" s="55">
        <v>2</v>
      </c>
      <c r="Z13" s="55">
        <v>2</v>
      </c>
      <c r="AA13" s="56">
        <v>2</v>
      </c>
      <c r="AI13" s="56">
        <v>2</v>
      </c>
      <c r="AJ13" s="54">
        <v>2</v>
      </c>
      <c r="AK13" s="55">
        <v>2</v>
      </c>
      <c r="AL13" s="55">
        <v>2</v>
      </c>
      <c r="AM13" s="56">
        <v>2</v>
      </c>
      <c r="AN13" s="54">
        <v>2</v>
      </c>
      <c r="AO13" s="55">
        <v>2</v>
      </c>
      <c r="AP13" s="55">
        <v>2</v>
      </c>
      <c r="AQ13" s="56">
        <v>2</v>
      </c>
      <c r="AR13" s="54">
        <v>2</v>
      </c>
      <c r="AS13" s="55">
        <v>2</v>
      </c>
      <c r="AT13" s="55">
        <v>2</v>
      </c>
      <c r="AU13" s="56">
        <v>2</v>
      </c>
    </row>
    <row r="14" spans="1:93" ht="21.95" customHeight="1">
      <c r="A14" s="53" t="s">
        <v>36</v>
      </c>
      <c r="B14" s="53" t="s">
        <v>97</v>
      </c>
      <c r="C14" s="53" t="s">
        <v>37</v>
      </c>
      <c r="D14" s="53" t="s">
        <v>3</v>
      </c>
      <c r="E14" s="53" t="s">
        <v>188</v>
      </c>
      <c r="F14" s="72">
        <f t="shared" si="0"/>
        <v>0.75</v>
      </c>
      <c r="G14" s="73">
        <f t="shared" si="1"/>
        <v>0.75</v>
      </c>
      <c r="H14" s="74">
        <f t="shared" si="2"/>
        <v>0</v>
      </c>
      <c r="I14" s="75">
        <f t="shared" si="3"/>
        <v>0</v>
      </c>
      <c r="J14" s="76">
        <f t="shared" si="4"/>
        <v>0</v>
      </c>
      <c r="K14" s="97">
        <v>45842</v>
      </c>
      <c r="AF14" s="54">
        <v>2</v>
      </c>
      <c r="AG14" s="55">
        <v>2</v>
      </c>
      <c r="AH14" s="55">
        <v>2</v>
      </c>
    </row>
    <row r="15" spans="1:93" ht="21.95" customHeight="1">
      <c r="A15" s="53" t="s">
        <v>133</v>
      </c>
      <c r="B15" s="53" t="s">
        <v>133</v>
      </c>
      <c r="C15" s="53" t="s">
        <v>48</v>
      </c>
      <c r="D15" s="53" t="s">
        <v>3</v>
      </c>
      <c r="E15" s="53" t="s">
        <v>188</v>
      </c>
      <c r="F15" s="72">
        <f t="shared" si="0"/>
        <v>0.5</v>
      </c>
      <c r="G15" s="73">
        <f t="shared" si="1"/>
        <v>0.5</v>
      </c>
      <c r="H15" s="74">
        <f t="shared" si="2"/>
        <v>0</v>
      </c>
      <c r="I15" s="75">
        <f t="shared" si="3"/>
        <v>0</v>
      </c>
      <c r="J15" s="76">
        <f t="shared" si="4"/>
        <v>0</v>
      </c>
      <c r="K15" s="97">
        <v>45845</v>
      </c>
      <c r="L15" s="54">
        <v>2</v>
      </c>
      <c r="M15" s="55">
        <v>2</v>
      </c>
    </row>
    <row r="16" spans="1:93" ht="21.95" customHeight="1">
      <c r="A16" s="53" t="s">
        <v>209</v>
      </c>
      <c r="B16" s="53" t="s">
        <v>210</v>
      </c>
      <c r="C16" s="53" t="s">
        <v>104</v>
      </c>
      <c r="D16" s="53" t="s">
        <v>3</v>
      </c>
      <c r="E16" s="53" t="s">
        <v>188</v>
      </c>
      <c r="F16" s="72">
        <f t="shared" si="0"/>
        <v>1</v>
      </c>
      <c r="G16" s="73">
        <f t="shared" si="1"/>
        <v>1</v>
      </c>
      <c r="H16" s="74">
        <f t="shared" si="2"/>
        <v>0</v>
      </c>
      <c r="I16" s="75">
        <f t="shared" si="3"/>
        <v>0</v>
      </c>
      <c r="J16" s="76">
        <f t="shared" si="4"/>
        <v>0</v>
      </c>
      <c r="K16" s="97">
        <v>45845</v>
      </c>
      <c r="N16" s="55">
        <v>2</v>
      </c>
      <c r="O16" s="56">
        <v>2</v>
      </c>
      <c r="P16" s="54">
        <v>2</v>
      </c>
      <c r="Q16" s="55">
        <v>2</v>
      </c>
    </row>
    <row r="17" spans="1:47" ht="21.95" customHeight="1">
      <c r="A17" s="53" t="s">
        <v>209</v>
      </c>
      <c r="B17" s="53" t="s">
        <v>210</v>
      </c>
      <c r="C17" s="53" t="s">
        <v>4</v>
      </c>
      <c r="D17" s="53" t="s">
        <v>3</v>
      </c>
      <c r="E17" s="53" t="s">
        <v>188</v>
      </c>
      <c r="F17" s="72">
        <f t="shared" si="0"/>
        <v>6.5</v>
      </c>
      <c r="G17" s="73">
        <f t="shared" si="1"/>
        <v>6.5</v>
      </c>
      <c r="H17" s="74">
        <f t="shared" si="2"/>
        <v>0</v>
      </c>
      <c r="I17" s="75">
        <f t="shared" si="3"/>
        <v>0</v>
      </c>
      <c r="J17" s="76">
        <f t="shared" si="4"/>
        <v>0</v>
      </c>
      <c r="K17" s="97">
        <v>45845</v>
      </c>
      <c r="R17" s="55">
        <v>2</v>
      </c>
      <c r="S17" s="56">
        <v>2</v>
      </c>
      <c r="T17" s="54">
        <v>2</v>
      </c>
      <c r="U17" s="55">
        <v>2</v>
      </c>
      <c r="V17" s="55">
        <v>2</v>
      </c>
      <c r="W17" s="56">
        <v>2</v>
      </c>
      <c r="X17" s="54">
        <v>2</v>
      </c>
      <c r="Y17" s="55">
        <v>2</v>
      </c>
      <c r="Z17" s="55">
        <v>2</v>
      </c>
      <c r="AA17" s="56">
        <v>2</v>
      </c>
      <c r="AF17" s="54">
        <v>2</v>
      </c>
      <c r="AG17" s="55">
        <v>2</v>
      </c>
      <c r="AH17" s="55">
        <v>2</v>
      </c>
      <c r="AI17" s="56">
        <v>2</v>
      </c>
      <c r="AJ17" s="54">
        <v>2</v>
      </c>
      <c r="AK17" s="55">
        <v>2</v>
      </c>
      <c r="AL17" s="55">
        <v>2</v>
      </c>
      <c r="AM17" s="56">
        <v>2</v>
      </c>
      <c r="AN17" s="54">
        <v>2</v>
      </c>
      <c r="AO17" s="55">
        <v>2</v>
      </c>
      <c r="AP17" s="55">
        <v>2</v>
      </c>
      <c r="AQ17" s="56">
        <v>2</v>
      </c>
      <c r="AR17" s="54">
        <v>2</v>
      </c>
      <c r="AS17" s="55">
        <v>2</v>
      </c>
      <c r="AT17" s="55">
        <v>2</v>
      </c>
      <c r="AU17" s="56">
        <v>2</v>
      </c>
    </row>
    <row r="18" spans="1:47" ht="21.95" customHeight="1">
      <c r="A18" s="53" t="s">
        <v>209</v>
      </c>
      <c r="B18" s="53" t="s">
        <v>210</v>
      </c>
      <c r="C18" s="53" t="s">
        <v>4</v>
      </c>
      <c r="D18" s="53" t="s">
        <v>3</v>
      </c>
      <c r="E18" s="53" t="s">
        <v>188</v>
      </c>
      <c r="F18" s="72">
        <f t="shared" si="0"/>
        <v>7.5</v>
      </c>
      <c r="G18" s="73">
        <f t="shared" si="1"/>
        <v>7.5</v>
      </c>
      <c r="H18" s="74">
        <f t="shared" si="2"/>
        <v>0</v>
      </c>
      <c r="I18" s="75">
        <f t="shared" si="3"/>
        <v>0</v>
      </c>
      <c r="J18" s="76">
        <f t="shared" si="4"/>
        <v>0</v>
      </c>
      <c r="K18" s="97">
        <v>45846</v>
      </c>
      <c r="L18" s="54">
        <v>2</v>
      </c>
      <c r="M18" s="55">
        <v>2</v>
      </c>
      <c r="N18" s="55">
        <v>2</v>
      </c>
      <c r="O18" s="56">
        <v>2</v>
      </c>
      <c r="P18" s="54">
        <v>2</v>
      </c>
      <c r="Q18" s="55">
        <v>2</v>
      </c>
      <c r="R18" s="55">
        <v>2</v>
      </c>
      <c r="S18" s="56">
        <v>2</v>
      </c>
      <c r="T18" s="54">
        <v>2</v>
      </c>
      <c r="U18" s="55">
        <v>2</v>
      </c>
      <c r="V18" s="55">
        <v>2</v>
      </c>
      <c r="W18" s="56">
        <v>2</v>
      </c>
      <c r="X18" s="54">
        <v>2</v>
      </c>
      <c r="Y18" s="55">
        <v>2</v>
      </c>
      <c r="Z18" s="55">
        <v>2</v>
      </c>
      <c r="AA18" s="56">
        <v>2</v>
      </c>
      <c r="AF18" s="54">
        <v>2</v>
      </c>
      <c r="AG18" s="55">
        <v>2</v>
      </c>
      <c r="AH18" s="55">
        <v>2</v>
      </c>
      <c r="AI18" s="56">
        <v>2</v>
      </c>
      <c r="AJ18" s="54">
        <v>2</v>
      </c>
      <c r="AK18" s="55">
        <v>2</v>
      </c>
      <c r="AL18" s="55">
        <v>2</v>
      </c>
      <c r="AM18" s="56">
        <v>2</v>
      </c>
      <c r="AN18" s="54">
        <v>2</v>
      </c>
      <c r="AO18" s="55">
        <v>2</v>
      </c>
      <c r="AP18" s="55">
        <v>2</v>
      </c>
      <c r="AQ18" s="56">
        <v>2</v>
      </c>
      <c r="AR18" s="54">
        <v>2</v>
      </c>
      <c r="AS18" s="55">
        <v>2</v>
      </c>
    </row>
    <row r="19" spans="1:47" ht="21.95" customHeight="1">
      <c r="A19" s="53" t="s">
        <v>205</v>
      </c>
      <c r="B19" s="53" t="s">
        <v>211</v>
      </c>
      <c r="C19" s="53" t="s">
        <v>106</v>
      </c>
      <c r="D19" s="53" t="s">
        <v>3</v>
      </c>
      <c r="E19" s="53" t="s">
        <v>188</v>
      </c>
      <c r="F19" s="72">
        <f t="shared" si="0"/>
        <v>0.5</v>
      </c>
      <c r="G19" s="73">
        <f t="shared" si="1"/>
        <v>0.5</v>
      </c>
      <c r="H19" s="74">
        <f t="shared" si="2"/>
        <v>0</v>
      </c>
      <c r="I19" s="75">
        <f t="shared" si="3"/>
        <v>0</v>
      </c>
      <c r="J19" s="76">
        <f t="shared" si="4"/>
        <v>0</v>
      </c>
      <c r="K19" s="97">
        <v>45846</v>
      </c>
      <c r="AT19" s="55">
        <v>2</v>
      </c>
      <c r="AU19" s="56">
        <v>2</v>
      </c>
    </row>
    <row r="20" spans="1:47" ht="21.95" customHeight="1">
      <c r="A20" s="53" t="s">
        <v>133</v>
      </c>
      <c r="B20" s="53" t="s">
        <v>210</v>
      </c>
      <c r="C20" s="53" t="s">
        <v>4</v>
      </c>
      <c r="D20" s="53" t="s">
        <v>3</v>
      </c>
      <c r="E20" s="53" t="s">
        <v>188</v>
      </c>
      <c r="F20" s="72">
        <f t="shared" si="0"/>
        <v>0</v>
      </c>
      <c r="G20" s="73">
        <f t="shared" si="1"/>
        <v>8</v>
      </c>
      <c r="H20" s="74">
        <f t="shared" si="2"/>
        <v>-8</v>
      </c>
      <c r="I20" s="75">
        <f t="shared" si="3"/>
        <v>0</v>
      </c>
      <c r="J20" s="76">
        <f t="shared" si="4"/>
        <v>0</v>
      </c>
      <c r="K20" s="97">
        <v>45847</v>
      </c>
      <c r="L20" s="54">
        <v>3</v>
      </c>
      <c r="M20" s="55">
        <v>3</v>
      </c>
      <c r="N20" s="55">
        <v>3</v>
      </c>
      <c r="O20" s="56">
        <v>3</v>
      </c>
      <c r="P20" s="54">
        <v>3</v>
      </c>
      <c r="Q20" s="55">
        <v>3</v>
      </c>
      <c r="R20" s="55">
        <v>3</v>
      </c>
      <c r="S20" s="56">
        <v>3</v>
      </c>
      <c r="T20" s="54">
        <v>3</v>
      </c>
      <c r="U20" s="55">
        <v>3</v>
      </c>
      <c r="V20" s="55">
        <v>3</v>
      </c>
      <c r="W20" s="56">
        <v>3</v>
      </c>
      <c r="X20" s="54">
        <v>3</v>
      </c>
      <c r="Y20" s="55">
        <v>3</v>
      </c>
      <c r="Z20" s="55">
        <v>3</v>
      </c>
      <c r="AA20" s="56">
        <v>3</v>
      </c>
      <c r="AF20" s="54">
        <v>3</v>
      </c>
      <c r="AG20" s="55">
        <v>3</v>
      </c>
      <c r="AH20" s="55">
        <v>3</v>
      </c>
      <c r="AI20" s="56">
        <v>3</v>
      </c>
      <c r="AJ20" s="54">
        <v>3</v>
      </c>
      <c r="AK20" s="55">
        <v>3</v>
      </c>
      <c r="AL20" s="55">
        <v>3</v>
      </c>
      <c r="AM20" s="56">
        <v>3</v>
      </c>
      <c r="AN20" s="54">
        <v>3</v>
      </c>
      <c r="AO20" s="55">
        <v>3</v>
      </c>
      <c r="AP20" s="55">
        <v>3</v>
      </c>
      <c r="AQ20" s="56">
        <v>3</v>
      </c>
      <c r="AR20" s="54">
        <v>3</v>
      </c>
      <c r="AS20" s="55">
        <v>3</v>
      </c>
      <c r="AT20" s="55">
        <v>3</v>
      </c>
      <c r="AU20" s="56">
        <v>3</v>
      </c>
    </row>
    <row r="21" spans="1:47" ht="21.95" customHeight="1">
      <c r="A21" s="53" t="s">
        <v>133</v>
      </c>
      <c r="B21" s="53" t="s">
        <v>210</v>
      </c>
      <c r="C21" s="53" t="s">
        <v>4</v>
      </c>
      <c r="D21" s="53" t="s">
        <v>3</v>
      </c>
      <c r="E21" s="53" t="s">
        <v>188</v>
      </c>
      <c r="F21" s="72">
        <f t="shared" si="0"/>
        <v>0</v>
      </c>
      <c r="G21" s="73">
        <f t="shared" si="1"/>
        <v>8</v>
      </c>
      <c r="H21" s="74">
        <f t="shared" si="2"/>
        <v>-8</v>
      </c>
      <c r="I21" s="75">
        <f t="shared" si="3"/>
        <v>0</v>
      </c>
      <c r="J21" s="76">
        <f t="shared" si="4"/>
        <v>0</v>
      </c>
      <c r="K21" s="97">
        <v>45848</v>
      </c>
      <c r="L21" s="54">
        <v>3</v>
      </c>
      <c r="M21" s="55">
        <v>3</v>
      </c>
      <c r="N21" s="55">
        <v>3</v>
      </c>
      <c r="O21" s="56">
        <v>3</v>
      </c>
      <c r="P21" s="54">
        <v>3</v>
      </c>
      <c r="Q21" s="55">
        <v>3</v>
      </c>
      <c r="R21" s="55">
        <v>3</v>
      </c>
      <c r="S21" s="56">
        <v>3</v>
      </c>
      <c r="T21" s="54">
        <v>3</v>
      </c>
      <c r="U21" s="55">
        <v>3</v>
      </c>
      <c r="V21" s="55">
        <v>3</v>
      </c>
      <c r="W21" s="56">
        <v>3</v>
      </c>
      <c r="X21" s="54">
        <v>3</v>
      </c>
      <c r="Y21" s="55">
        <v>3</v>
      </c>
      <c r="Z21" s="55">
        <v>3</v>
      </c>
      <c r="AA21" s="56">
        <v>3</v>
      </c>
      <c r="AF21" s="54">
        <v>3</v>
      </c>
      <c r="AG21" s="55">
        <v>3</v>
      </c>
      <c r="AH21" s="55">
        <v>3</v>
      </c>
      <c r="AI21" s="56">
        <v>3</v>
      </c>
      <c r="AJ21" s="54">
        <v>3</v>
      </c>
      <c r="AK21" s="55">
        <v>3</v>
      </c>
      <c r="AL21" s="55">
        <v>3</v>
      </c>
      <c r="AM21" s="56">
        <v>3</v>
      </c>
      <c r="AN21" s="54">
        <v>3</v>
      </c>
      <c r="AO21" s="55">
        <v>3</v>
      </c>
      <c r="AP21" s="55">
        <v>3</v>
      </c>
      <c r="AQ21" s="56">
        <v>3</v>
      </c>
      <c r="AR21" s="54">
        <v>3</v>
      </c>
      <c r="AS21" s="55">
        <v>3</v>
      </c>
      <c r="AT21" s="55">
        <v>3</v>
      </c>
      <c r="AU21" s="56">
        <v>3</v>
      </c>
    </row>
    <row r="22" spans="1:47" ht="21.95" customHeight="1">
      <c r="A22" s="53" t="s">
        <v>133</v>
      </c>
      <c r="B22" s="53" t="s">
        <v>210</v>
      </c>
      <c r="C22" s="53" t="s">
        <v>4</v>
      </c>
      <c r="D22" s="53" t="s">
        <v>3</v>
      </c>
      <c r="E22" s="53" t="s">
        <v>188</v>
      </c>
      <c r="F22" s="72">
        <f t="shared" si="0"/>
        <v>0</v>
      </c>
      <c r="G22" s="73">
        <f t="shared" si="1"/>
        <v>4</v>
      </c>
      <c r="H22" s="74">
        <f t="shared" si="2"/>
        <v>-4</v>
      </c>
      <c r="I22" s="75">
        <f t="shared" si="3"/>
        <v>0</v>
      </c>
      <c r="J22" s="76">
        <f t="shared" si="4"/>
        <v>0</v>
      </c>
      <c r="K22" s="97">
        <v>45849</v>
      </c>
      <c r="L22" s="54">
        <v>3</v>
      </c>
      <c r="M22" s="55">
        <v>3</v>
      </c>
      <c r="N22" s="55">
        <v>3</v>
      </c>
      <c r="O22" s="56">
        <v>3</v>
      </c>
      <c r="P22" s="54">
        <v>3</v>
      </c>
      <c r="Q22" s="55">
        <v>3</v>
      </c>
      <c r="R22" s="55">
        <v>3</v>
      </c>
      <c r="S22" s="56">
        <v>3</v>
      </c>
      <c r="T22" s="54">
        <v>3</v>
      </c>
      <c r="U22" s="55">
        <v>3</v>
      </c>
      <c r="V22" s="55">
        <v>3</v>
      </c>
      <c r="W22" s="56">
        <v>3</v>
      </c>
      <c r="X22" s="54">
        <v>3</v>
      </c>
      <c r="Y22" s="55">
        <v>3</v>
      </c>
      <c r="Z22" s="55">
        <v>3</v>
      </c>
      <c r="AA22" s="56">
        <v>3</v>
      </c>
    </row>
    <row r="23" spans="1:47" ht="21.95" customHeight="1">
      <c r="A23" s="53" t="s">
        <v>133</v>
      </c>
      <c r="B23" s="53" t="s">
        <v>133</v>
      </c>
      <c r="C23" s="53" t="s">
        <v>48</v>
      </c>
      <c r="D23" s="53" t="s">
        <v>3</v>
      </c>
      <c r="E23" s="53" t="s">
        <v>188</v>
      </c>
      <c r="F23" s="72">
        <f t="shared" si="0"/>
        <v>4</v>
      </c>
      <c r="G23" s="73">
        <f t="shared" si="1"/>
        <v>4</v>
      </c>
      <c r="H23" s="74">
        <f t="shared" si="2"/>
        <v>0</v>
      </c>
      <c r="I23" s="75">
        <f t="shared" si="3"/>
        <v>0</v>
      </c>
      <c r="J23" s="76">
        <f t="shared" si="4"/>
        <v>0</v>
      </c>
      <c r="K23" s="97">
        <v>45849</v>
      </c>
      <c r="AF23" s="54">
        <v>2</v>
      </c>
      <c r="AG23" s="55">
        <v>2</v>
      </c>
      <c r="AH23" s="55">
        <v>2</v>
      </c>
      <c r="AI23" s="56">
        <v>2</v>
      </c>
      <c r="AJ23" s="54">
        <v>2</v>
      </c>
      <c r="AK23" s="55">
        <v>2</v>
      </c>
      <c r="AL23" s="55">
        <v>2</v>
      </c>
      <c r="AM23" s="56">
        <v>2</v>
      </c>
      <c r="AN23" s="54">
        <v>2</v>
      </c>
      <c r="AO23" s="55">
        <v>2</v>
      </c>
      <c r="AP23" s="55">
        <v>2</v>
      </c>
      <c r="AQ23" s="56">
        <v>2</v>
      </c>
      <c r="AR23" s="54">
        <v>2</v>
      </c>
      <c r="AS23" s="55">
        <v>2</v>
      </c>
      <c r="AT23" s="55">
        <v>2</v>
      </c>
      <c r="AU23" s="56">
        <v>2</v>
      </c>
    </row>
    <row r="24" spans="1:47" ht="21.95" customHeight="1">
      <c r="A24" s="53" t="s">
        <v>133</v>
      </c>
      <c r="B24" s="53" t="s">
        <v>133</v>
      </c>
      <c r="C24" s="53" t="s">
        <v>48</v>
      </c>
      <c r="D24" s="53" t="s">
        <v>3</v>
      </c>
      <c r="E24" s="53" t="s">
        <v>188</v>
      </c>
      <c r="F24" s="72">
        <f t="shared" si="0"/>
        <v>8</v>
      </c>
      <c r="G24" s="73">
        <f t="shared" si="1"/>
        <v>8</v>
      </c>
      <c r="H24" s="74">
        <f t="shared" si="2"/>
        <v>0</v>
      </c>
      <c r="I24" s="75">
        <f t="shared" si="3"/>
        <v>0</v>
      </c>
      <c r="J24" s="76">
        <f t="shared" si="4"/>
        <v>0</v>
      </c>
      <c r="K24" s="97">
        <v>45852</v>
      </c>
      <c r="L24" s="54">
        <v>2</v>
      </c>
      <c r="M24" s="55">
        <v>2</v>
      </c>
      <c r="N24" s="55">
        <v>2</v>
      </c>
      <c r="O24" s="56">
        <v>2</v>
      </c>
      <c r="P24" s="54">
        <v>2</v>
      </c>
      <c r="Q24" s="55">
        <v>2</v>
      </c>
      <c r="R24" s="55">
        <v>2</v>
      </c>
      <c r="S24" s="56">
        <v>2</v>
      </c>
      <c r="T24" s="54">
        <v>2</v>
      </c>
      <c r="U24" s="55">
        <v>2</v>
      </c>
      <c r="V24" s="55">
        <v>2</v>
      </c>
      <c r="W24" s="56">
        <v>2</v>
      </c>
      <c r="X24" s="54">
        <v>2</v>
      </c>
      <c r="Y24" s="55">
        <v>2</v>
      </c>
      <c r="Z24" s="55">
        <v>2</v>
      </c>
      <c r="AA24" s="56">
        <v>2</v>
      </c>
      <c r="AF24" s="54">
        <v>2</v>
      </c>
      <c r="AG24" s="55">
        <v>2</v>
      </c>
      <c r="AH24" s="55">
        <v>2</v>
      </c>
      <c r="AI24" s="56">
        <v>2</v>
      </c>
      <c r="AJ24" s="54">
        <v>2</v>
      </c>
      <c r="AK24" s="55">
        <v>2</v>
      </c>
      <c r="AL24" s="55">
        <v>2</v>
      </c>
      <c r="AM24" s="56">
        <v>2</v>
      </c>
      <c r="AN24" s="54">
        <v>2</v>
      </c>
      <c r="AO24" s="55">
        <v>2</v>
      </c>
      <c r="AP24" s="55">
        <v>2</v>
      </c>
      <c r="AQ24" s="56">
        <v>2</v>
      </c>
      <c r="AR24" s="54">
        <v>2</v>
      </c>
      <c r="AS24" s="55">
        <v>2</v>
      </c>
      <c r="AT24" s="55">
        <v>2</v>
      </c>
      <c r="AU24" s="56">
        <v>2</v>
      </c>
    </row>
    <row r="25" spans="1:47" ht="21.95" customHeight="1">
      <c r="A25" s="53" t="s">
        <v>133</v>
      </c>
      <c r="B25" s="53" t="s">
        <v>133</v>
      </c>
      <c r="C25" s="53" t="s">
        <v>48</v>
      </c>
      <c r="D25" s="53" t="s">
        <v>3</v>
      </c>
      <c r="E25" s="53" t="s">
        <v>188</v>
      </c>
      <c r="F25" s="72">
        <f t="shared" si="0"/>
        <v>8</v>
      </c>
      <c r="G25" s="73">
        <f t="shared" si="1"/>
        <v>8</v>
      </c>
      <c r="H25" s="74">
        <f t="shared" si="2"/>
        <v>0</v>
      </c>
      <c r="I25" s="75">
        <f t="shared" si="3"/>
        <v>0</v>
      </c>
      <c r="J25" s="76">
        <f t="shared" si="4"/>
        <v>0</v>
      </c>
      <c r="K25" s="97">
        <v>45853</v>
      </c>
      <c r="L25" s="54">
        <v>2</v>
      </c>
      <c r="M25" s="55">
        <v>2</v>
      </c>
      <c r="N25" s="55">
        <v>2</v>
      </c>
      <c r="O25" s="56">
        <v>2</v>
      </c>
      <c r="P25" s="54">
        <v>2</v>
      </c>
      <c r="Q25" s="55">
        <v>2</v>
      </c>
      <c r="R25" s="55">
        <v>2</v>
      </c>
      <c r="S25" s="56">
        <v>2</v>
      </c>
      <c r="T25" s="54">
        <v>2</v>
      </c>
      <c r="U25" s="55">
        <v>2</v>
      </c>
      <c r="V25" s="55">
        <v>2</v>
      </c>
      <c r="W25" s="56">
        <v>2</v>
      </c>
      <c r="X25" s="54">
        <v>2</v>
      </c>
      <c r="Y25" s="55">
        <v>2</v>
      </c>
      <c r="Z25" s="55">
        <v>2</v>
      </c>
      <c r="AA25" s="56">
        <v>2</v>
      </c>
      <c r="AF25" s="54">
        <v>2</v>
      </c>
      <c r="AG25" s="55">
        <v>2</v>
      </c>
      <c r="AH25" s="55">
        <v>2</v>
      </c>
      <c r="AI25" s="56">
        <v>2</v>
      </c>
      <c r="AJ25" s="54">
        <v>2</v>
      </c>
      <c r="AK25" s="55">
        <v>2</v>
      </c>
      <c r="AL25" s="55">
        <v>2</v>
      </c>
      <c r="AM25" s="56">
        <v>2</v>
      </c>
      <c r="AN25" s="54">
        <v>2</v>
      </c>
      <c r="AO25" s="55">
        <v>2</v>
      </c>
      <c r="AP25" s="55">
        <v>2</v>
      </c>
      <c r="AQ25" s="56">
        <v>2</v>
      </c>
      <c r="AR25" s="54">
        <v>2</v>
      </c>
      <c r="AS25" s="55">
        <v>2</v>
      </c>
      <c r="AT25" s="55">
        <v>2</v>
      </c>
      <c r="AU25" s="56">
        <v>2</v>
      </c>
    </row>
    <row r="26" spans="1:47" ht="21.95" customHeight="1">
      <c r="A26" s="53" t="s">
        <v>133</v>
      </c>
      <c r="B26" s="53" t="s">
        <v>133</v>
      </c>
      <c r="C26" s="53" t="s">
        <v>48</v>
      </c>
      <c r="D26" s="53" t="s">
        <v>3</v>
      </c>
      <c r="E26" s="53" t="s">
        <v>188</v>
      </c>
      <c r="F26" s="72">
        <f t="shared" si="0"/>
        <v>7.25</v>
      </c>
      <c r="G26" s="73">
        <f t="shared" si="1"/>
        <v>7.25</v>
      </c>
      <c r="H26" s="74">
        <f t="shared" si="2"/>
        <v>0</v>
      </c>
      <c r="I26" s="75">
        <f t="shared" si="3"/>
        <v>0</v>
      </c>
      <c r="J26" s="76">
        <f t="shared" si="4"/>
        <v>0</v>
      </c>
      <c r="K26" s="97">
        <v>45854</v>
      </c>
      <c r="L26" s="54">
        <v>2</v>
      </c>
      <c r="M26" s="55">
        <v>2</v>
      </c>
      <c r="N26" s="55">
        <v>2</v>
      </c>
      <c r="O26" s="56">
        <v>2</v>
      </c>
      <c r="P26" s="54">
        <v>2</v>
      </c>
      <c r="Q26" s="55">
        <v>2</v>
      </c>
      <c r="R26" s="55">
        <v>2</v>
      </c>
      <c r="S26" s="56">
        <v>2</v>
      </c>
      <c r="T26" s="54">
        <v>2</v>
      </c>
      <c r="U26" s="55">
        <v>2</v>
      </c>
      <c r="V26" s="55">
        <v>2</v>
      </c>
      <c r="W26" s="56">
        <v>2</v>
      </c>
      <c r="X26" s="54">
        <v>2</v>
      </c>
      <c r="Y26" s="55">
        <v>2</v>
      </c>
      <c r="Z26" s="55">
        <v>2</v>
      </c>
      <c r="AA26" s="56">
        <v>2</v>
      </c>
      <c r="AF26" s="54">
        <v>2</v>
      </c>
      <c r="AG26" s="55">
        <v>2</v>
      </c>
      <c r="AH26" s="55">
        <v>2</v>
      </c>
      <c r="AI26" s="56">
        <v>2</v>
      </c>
      <c r="AJ26" s="54">
        <v>2</v>
      </c>
      <c r="AK26" s="55">
        <v>2</v>
      </c>
      <c r="AL26" s="55">
        <v>2</v>
      </c>
      <c r="AM26" s="56">
        <v>2</v>
      </c>
      <c r="AN26" s="54">
        <v>2</v>
      </c>
      <c r="AO26" s="55">
        <v>2</v>
      </c>
      <c r="AP26" s="55">
        <v>2</v>
      </c>
      <c r="AQ26" s="56">
        <v>2</v>
      </c>
      <c r="AR26" s="54">
        <v>2</v>
      </c>
    </row>
    <row r="27" spans="1:47" ht="21.95" customHeight="1">
      <c r="A27" s="53" t="s">
        <v>35</v>
      </c>
      <c r="B27" s="53" t="s">
        <v>212</v>
      </c>
      <c r="C27" s="53" t="s">
        <v>48</v>
      </c>
      <c r="D27" s="53" t="s">
        <v>3</v>
      </c>
      <c r="E27" s="53" t="s">
        <v>188</v>
      </c>
      <c r="F27" s="72">
        <f t="shared" si="0"/>
        <v>0.75</v>
      </c>
      <c r="G27" s="73">
        <f t="shared" si="1"/>
        <v>0.75</v>
      </c>
      <c r="H27" s="74">
        <f t="shared" si="2"/>
        <v>0</v>
      </c>
      <c r="I27" s="75">
        <f t="shared" si="3"/>
        <v>0</v>
      </c>
      <c r="J27" s="76">
        <f t="shared" si="4"/>
        <v>0</v>
      </c>
      <c r="K27" s="97">
        <v>45854</v>
      </c>
      <c r="AS27" s="55">
        <v>2</v>
      </c>
      <c r="AT27" s="55">
        <v>2</v>
      </c>
      <c r="AU27" s="56">
        <v>2</v>
      </c>
    </row>
    <row r="28" spans="1:47" ht="21.95" customHeight="1">
      <c r="A28" s="53" t="s">
        <v>133</v>
      </c>
      <c r="B28" s="53" t="s">
        <v>133</v>
      </c>
      <c r="C28" s="53" t="s">
        <v>48</v>
      </c>
      <c r="D28" s="53" t="s">
        <v>3</v>
      </c>
      <c r="E28" s="53" t="s">
        <v>188</v>
      </c>
      <c r="F28" s="72">
        <f t="shared" si="0"/>
        <v>7.5</v>
      </c>
      <c r="G28" s="73">
        <f t="shared" si="1"/>
        <v>7.5</v>
      </c>
      <c r="H28" s="74">
        <f t="shared" si="2"/>
        <v>0</v>
      </c>
      <c r="I28" s="75">
        <f t="shared" si="3"/>
        <v>0</v>
      </c>
      <c r="J28" s="76">
        <f t="shared" si="4"/>
        <v>0</v>
      </c>
      <c r="K28" s="97">
        <v>45855</v>
      </c>
      <c r="L28" s="54">
        <v>2</v>
      </c>
      <c r="M28" s="55">
        <v>2</v>
      </c>
      <c r="N28" s="55">
        <v>2</v>
      </c>
      <c r="O28" s="56">
        <v>2</v>
      </c>
      <c r="P28" s="54">
        <v>2</v>
      </c>
      <c r="Q28" s="55">
        <v>2</v>
      </c>
      <c r="R28" s="55">
        <v>2</v>
      </c>
      <c r="S28" s="56">
        <v>2</v>
      </c>
      <c r="T28" s="54">
        <v>2</v>
      </c>
      <c r="U28" s="55">
        <v>2</v>
      </c>
      <c r="V28" s="55">
        <v>2</v>
      </c>
      <c r="W28" s="56">
        <v>2</v>
      </c>
      <c r="X28" s="54">
        <v>2</v>
      </c>
      <c r="Y28" s="55">
        <v>2</v>
      </c>
      <c r="Z28" s="55">
        <v>2</v>
      </c>
      <c r="AA28" s="56">
        <v>2</v>
      </c>
      <c r="AF28" s="54">
        <v>2</v>
      </c>
      <c r="AG28" s="55">
        <v>2</v>
      </c>
      <c r="AJ28" s="54">
        <v>2</v>
      </c>
      <c r="AK28" s="55">
        <v>2</v>
      </c>
      <c r="AL28" s="55">
        <v>2</v>
      </c>
      <c r="AM28" s="56">
        <v>2</v>
      </c>
      <c r="AN28" s="54">
        <v>2</v>
      </c>
      <c r="AO28" s="55">
        <v>2</v>
      </c>
      <c r="AP28" s="55">
        <v>2</v>
      </c>
      <c r="AQ28" s="56">
        <v>2</v>
      </c>
      <c r="AR28" s="54">
        <v>2</v>
      </c>
      <c r="AS28" s="55">
        <v>2</v>
      </c>
      <c r="AT28" s="55">
        <v>2</v>
      </c>
      <c r="AU28" s="56">
        <v>2</v>
      </c>
    </row>
    <row r="29" spans="1:47" ht="21.95" customHeight="1">
      <c r="A29" s="53" t="s">
        <v>35</v>
      </c>
      <c r="B29" s="53" t="s">
        <v>43</v>
      </c>
      <c r="C29" s="53" t="s">
        <v>48</v>
      </c>
      <c r="D29" s="53" t="s">
        <v>3</v>
      </c>
      <c r="E29" s="53" t="s">
        <v>188</v>
      </c>
      <c r="F29" s="72">
        <f t="shared" si="0"/>
        <v>0.5</v>
      </c>
      <c r="G29" s="73">
        <f t="shared" si="1"/>
        <v>0.5</v>
      </c>
      <c r="H29" s="74">
        <f t="shared" si="2"/>
        <v>0</v>
      </c>
      <c r="I29" s="75">
        <f t="shared" si="3"/>
        <v>0</v>
      </c>
      <c r="J29" s="76">
        <f t="shared" si="4"/>
        <v>0</v>
      </c>
      <c r="K29" s="97">
        <v>45855</v>
      </c>
      <c r="AH29" s="55">
        <v>2</v>
      </c>
      <c r="AI29" s="56">
        <v>2</v>
      </c>
    </row>
    <row r="30" spans="1:47" ht="21.95" customHeight="1">
      <c r="A30" s="53" t="s">
        <v>133</v>
      </c>
      <c r="B30" s="53" t="s">
        <v>133</v>
      </c>
      <c r="C30" s="53" t="s">
        <v>48</v>
      </c>
      <c r="D30" s="53" t="s">
        <v>3</v>
      </c>
      <c r="E30" s="53" t="s">
        <v>188</v>
      </c>
      <c r="F30" s="72">
        <f t="shared" si="0"/>
        <v>8</v>
      </c>
      <c r="G30" s="73">
        <f t="shared" si="1"/>
        <v>8</v>
      </c>
      <c r="H30" s="74">
        <f t="shared" si="2"/>
        <v>0</v>
      </c>
      <c r="I30" s="75">
        <f t="shared" si="3"/>
        <v>0</v>
      </c>
      <c r="J30" s="76">
        <f t="shared" si="4"/>
        <v>0</v>
      </c>
      <c r="K30" s="97">
        <v>45856</v>
      </c>
      <c r="L30" s="54">
        <v>2</v>
      </c>
      <c r="M30" s="55">
        <v>2</v>
      </c>
      <c r="N30" s="55">
        <v>2</v>
      </c>
      <c r="O30" s="56">
        <v>2</v>
      </c>
      <c r="P30" s="54">
        <v>2</v>
      </c>
      <c r="Q30" s="55">
        <v>2</v>
      </c>
      <c r="R30" s="55">
        <v>2</v>
      </c>
      <c r="S30" s="56">
        <v>2</v>
      </c>
      <c r="T30" s="54">
        <v>2</v>
      </c>
      <c r="U30" s="55">
        <v>2</v>
      </c>
      <c r="V30" s="55">
        <v>2</v>
      </c>
      <c r="W30" s="56">
        <v>2</v>
      </c>
      <c r="X30" s="54">
        <v>2</v>
      </c>
      <c r="Y30" s="55">
        <v>2</v>
      </c>
      <c r="Z30" s="55">
        <v>2</v>
      </c>
      <c r="AA30" s="56">
        <v>2</v>
      </c>
      <c r="AF30" s="54">
        <v>2</v>
      </c>
      <c r="AG30" s="55">
        <v>2</v>
      </c>
      <c r="AH30" s="55">
        <v>2</v>
      </c>
      <c r="AI30" s="56">
        <v>2</v>
      </c>
      <c r="AJ30" s="54">
        <v>2</v>
      </c>
      <c r="AK30" s="55">
        <v>2</v>
      </c>
      <c r="AL30" s="55">
        <v>2</v>
      </c>
      <c r="AM30" s="56">
        <v>2</v>
      </c>
      <c r="AN30" s="54">
        <v>2</v>
      </c>
      <c r="AO30" s="55">
        <v>2</v>
      </c>
      <c r="AP30" s="55">
        <v>2</v>
      </c>
      <c r="AQ30" s="56">
        <v>2</v>
      </c>
      <c r="AR30" s="54">
        <v>2</v>
      </c>
      <c r="AS30" s="55">
        <v>2</v>
      </c>
      <c r="AT30" s="55">
        <v>2</v>
      </c>
      <c r="AU30" s="56">
        <v>2</v>
      </c>
    </row>
    <row r="31" spans="1:47" ht="21.95" customHeight="1">
      <c r="A31" s="53" t="s">
        <v>133</v>
      </c>
      <c r="B31" s="53" t="s">
        <v>133</v>
      </c>
      <c r="C31" s="53" t="s">
        <v>48</v>
      </c>
      <c r="D31" s="53" t="s">
        <v>3</v>
      </c>
      <c r="E31" s="53" t="s">
        <v>188</v>
      </c>
      <c r="F31" s="72">
        <f t="shared" si="0"/>
        <v>8</v>
      </c>
      <c r="G31" s="73">
        <f t="shared" si="1"/>
        <v>8</v>
      </c>
      <c r="H31" s="74">
        <f t="shared" si="2"/>
        <v>0</v>
      </c>
      <c r="I31" s="75">
        <f t="shared" si="3"/>
        <v>0</v>
      </c>
      <c r="J31" s="76">
        <f t="shared" si="4"/>
        <v>0</v>
      </c>
      <c r="K31" s="97">
        <v>45859</v>
      </c>
      <c r="L31" s="54">
        <v>2</v>
      </c>
      <c r="M31" s="55">
        <v>2</v>
      </c>
      <c r="N31" s="55">
        <v>2</v>
      </c>
      <c r="O31" s="56">
        <v>2</v>
      </c>
      <c r="P31" s="54">
        <v>2</v>
      </c>
      <c r="Q31" s="55">
        <v>2</v>
      </c>
      <c r="R31" s="55">
        <v>2</v>
      </c>
      <c r="S31" s="56">
        <v>2</v>
      </c>
      <c r="T31" s="54">
        <v>2</v>
      </c>
      <c r="U31" s="55">
        <v>2</v>
      </c>
      <c r="V31" s="55">
        <v>2</v>
      </c>
      <c r="W31" s="56">
        <v>2</v>
      </c>
      <c r="X31" s="54">
        <v>2</v>
      </c>
      <c r="Y31" s="55">
        <v>2</v>
      </c>
      <c r="Z31" s="55">
        <v>2</v>
      </c>
      <c r="AA31" s="56">
        <v>2</v>
      </c>
      <c r="AF31" s="54">
        <v>2</v>
      </c>
      <c r="AG31" s="55">
        <v>2</v>
      </c>
      <c r="AH31" s="55">
        <v>2</v>
      </c>
      <c r="AI31" s="56">
        <v>2</v>
      </c>
      <c r="AJ31" s="54">
        <v>2</v>
      </c>
      <c r="AK31" s="55">
        <v>2</v>
      </c>
      <c r="AL31" s="55">
        <v>2</v>
      </c>
      <c r="AM31" s="56">
        <v>2</v>
      </c>
      <c r="AN31" s="54">
        <v>2</v>
      </c>
      <c r="AO31" s="55">
        <v>2</v>
      </c>
      <c r="AP31" s="55">
        <v>2</v>
      </c>
      <c r="AQ31" s="56">
        <v>2</v>
      </c>
      <c r="AR31" s="54">
        <v>2</v>
      </c>
      <c r="AS31" s="55">
        <v>2</v>
      </c>
      <c r="AT31" s="55">
        <v>2</v>
      </c>
      <c r="AU31" s="56">
        <v>2</v>
      </c>
    </row>
    <row r="32" spans="1:47" ht="21.95" customHeight="1">
      <c r="A32" s="53" t="s">
        <v>41</v>
      </c>
      <c r="B32" s="53" t="s">
        <v>213</v>
      </c>
      <c r="C32" s="53" t="s">
        <v>48</v>
      </c>
      <c r="D32" s="53" t="s">
        <v>3</v>
      </c>
      <c r="E32" s="53" t="s">
        <v>188</v>
      </c>
      <c r="F32" s="72">
        <f t="shared" si="0"/>
        <v>8</v>
      </c>
      <c r="G32" s="73">
        <f t="shared" si="1"/>
        <v>8</v>
      </c>
      <c r="H32" s="74">
        <f t="shared" si="2"/>
        <v>0</v>
      </c>
      <c r="I32" s="75">
        <f t="shared" si="3"/>
        <v>0</v>
      </c>
      <c r="J32" s="76">
        <f t="shared" si="4"/>
        <v>0</v>
      </c>
      <c r="K32" s="97">
        <v>45860</v>
      </c>
      <c r="L32" s="54">
        <v>2</v>
      </c>
      <c r="M32" s="55">
        <v>2</v>
      </c>
      <c r="N32" s="55">
        <v>2</v>
      </c>
      <c r="O32" s="56">
        <v>2</v>
      </c>
      <c r="P32" s="54">
        <v>2</v>
      </c>
      <c r="Q32" s="55">
        <v>2</v>
      </c>
      <c r="R32" s="55">
        <v>2</v>
      </c>
      <c r="S32" s="56">
        <v>2</v>
      </c>
      <c r="T32" s="54">
        <v>2</v>
      </c>
      <c r="U32" s="55">
        <v>2</v>
      </c>
      <c r="V32" s="55">
        <v>2</v>
      </c>
      <c r="W32" s="56">
        <v>2</v>
      </c>
      <c r="X32" s="54">
        <v>2</v>
      </c>
      <c r="Y32" s="55">
        <v>2</v>
      </c>
      <c r="Z32" s="55">
        <v>2</v>
      </c>
      <c r="AA32" s="56">
        <v>2</v>
      </c>
      <c r="AF32" s="54">
        <v>2</v>
      </c>
      <c r="AG32" s="55">
        <v>2</v>
      </c>
      <c r="AH32" s="55">
        <v>2</v>
      </c>
      <c r="AI32" s="56">
        <v>2</v>
      </c>
      <c r="AJ32" s="54">
        <v>2</v>
      </c>
      <c r="AK32" s="55">
        <v>2</v>
      </c>
      <c r="AL32" s="55">
        <v>2</v>
      </c>
      <c r="AM32" s="56">
        <v>2</v>
      </c>
      <c r="AN32" s="54">
        <v>2</v>
      </c>
      <c r="AO32" s="55">
        <v>2</v>
      </c>
      <c r="AP32" s="55">
        <v>2</v>
      </c>
      <c r="AQ32" s="56">
        <v>2</v>
      </c>
      <c r="AR32" s="54">
        <v>2</v>
      </c>
      <c r="AS32" s="55">
        <v>2</v>
      </c>
      <c r="AT32" s="55">
        <v>2</v>
      </c>
      <c r="AU32" s="56">
        <v>2</v>
      </c>
    </row>
    <row r="33" spans="5:24" ht="21.95" customHeight="1">
      <c r="E33" s="53" t="s">
        <v>188</v>
      </c>
      <c r="F33" s="72">
        <f t="shared" si="0"/>
        <v>0</v>
      </c>
      <c r="G33" s="73">
        <f t="shared" si="1"/>
        <v>0</v>
      </c>
      <c r="H33" s="74">
        <f t="shared" si="2"/>
        <v>0</v>
      </c>
      <c r="I33" s="75">
        <f t="shared" si="3"/>
        <v>0</v>
      </c>
      <c r="J33" s="76">
        <f t="shared" si="4"/>
        <v>0</v>
      </c>
    </row>
    <row r="34" spans="5:24" ht="21.95" customHeight="1">
      <c r="E34" s="53" t="s">
        <v>188</v>
      </c>
      <c r="F34" s="72">
        <f t="shared" si="0"/>
        <v>0</v>
      </c>
      <c r="G34" s="73">
        <f t="shared" si="1"/>
        <v>0</v>
      </c>
      <c r="H34" s="74">
        <f t="shared" si="2"/>
        <v>0</v>
      </c>
      <c r="I34" s="75">
        <f t="shared" si="3"/>
        <v>0</v>
      </c>
      <c r="J34" s="76">
        <f t="shared" si="4"/>
        <v>0</v>
      </c>
    </row>
    <row r="35" spans="5:24" ht="21.95" customHeight="1">
      <c r="E35" s="53" t="s">
        <v>188</v>
      </c>
      <c r="F35" s="72">
        <f t="shared" si="0"/>
        <v>0</v>
      </c>
      <c r="G35" s="73">
        <f t="shared" si="1"/>
        <v>0</v>
      </c>
      <c r="H35" s="74">
        <f t="shared" si="2"/>
        <v>0</v>
      </c>
      <c r="I35" s="75">
        <f t="shared" si="3"/>
        <v>0</v>
      </c>
      <c r="J35" s="76">
        <f t="shared" si="4"/>
        <v>0</v>
      </c>
      <c r="S35" s="55"/>
      <c r="X35" s="55"/>
    </row>
    <row r="36" spans="5:24" ht="21.95" customHeight="1">
      <c r="E36" s="53" t="s">
        <v>188</v>
      </c>
      <c r="F36" s="72">
        <f t="shared" si="0"/>
        <v>0</v>
      </c>
      <c r="G36" s="73">
        <f t="shared" si="1"/>
        <v>0</v>
      </c>
      <c r="H36" s="74">
        <f t="shared" si="2"/>
        <v>0</v>
      </c>
      <c r="I36" s="75">
        <f t="shared" si="3"/>
        <v>0</v>
      </c>
      <c r="J36" s="76">
        <f t="shared" si="4"/>
        <v>0</v>
      </c>
    </row>
    <row r="37" spans="5:24" ht="21.95" customHeight="1">
      <c r="E37" s="53" t="s">
        <v>188</v>
      </c>
      <c r="F37" s="72">
        <f t="shared" si="0"/>
        <v>0</v>
      </c>
      <c r="G37" s="73">
        <f t="shared" si="1"/>
        <v>0</v>
      </c>
      <c r="H37" s="74">
        <f t="shared" si="2"/>
        <v>0</v>
      </c>
      <c r="I37" s="75">
        <f t="shared" si="3"/>
        <v>0</v>
      </c>
      <c r="J37" s="76">
        <f t="shared" si="4"/>
        <v>0</v>
      </c>
    </row>
    <row r="38" spans="5:24" ht="21.95" customHeight="1">
      <c r="E38" s="53" t="s">
        <v>188</v>
      </c>
      <c r="F38" s="72">
        <f t="shared" si="0"/>
        <v>0</v>
      </c>
      <c r="G38" s="73">
        <f t="shared" si="1"/>
        <v>0</v>
      </c>
      <c r="H38" s="74">
        <f t="shared" si="2"/>
        <v>0</v>
      </c>
      <c r="I38" s="75">
        <f t="shared" si="3"/>
        <v>0</v>
      </c>
      <c r="J38" s="76">
        <f t="shared" si="4"/>
        <v>0</v>
      </c>
    </row>
    <row r="39" spans="5:24" ht="21.95" customHeight="1">
      <c r="E39" s="53" t="s">
        <v>188</v>
      </c>
      <c r="F39" s="72">
        <f t="shared" si="0"/>
        <v>0</v>
      </c>
      <c r="G39" s="73">
        <f t="shared" si="1"/>
        <v>0</v>
      </c>
      <c r="H39" s="74">
        <f t="shared" si="2"/>
        <v>0</v>
      </c>
      <c r="I39" s="75">
        <f t="shared" si="3"/>
        <v>0</v>
      </c>
      <c r="J39" s="76">
        <f t="shared" si="4"/>
        <v>0</v>
      </c>
    </row>
    <row r="40" spans="5:24" ht="21.95" customHeight="1">
      <c r="E40" s="53" t="s">
        <v>188</v>
      </c>
      <c r="F40" s="72">
        <f t="shared" si="0"/>
        <v>0</v>
      </c>
      <c r="G40" s="73">
        <f t="shared" si="1"/>
        <v>0</v>
      </c>
      <c r="H40" s="74">
        <f t="shared" si="2"/>
        <v>0</v>
      </c>
      <c r="I40" s="75">
        <f t="shared" si="3"/>
        <v>0</v>
      </c>
      <c r="J40" s="76">
        <f t="shared" si="4"/>
        <v>0</v>
      </c>
    </row>
    <row r="41" spans="5:24" ht="21.95" customHeight="1">
      <c r="E41" s="53" t="s">
        <v>188</v>
      </c>
      <c r="F41" s="72">
        <f t="shared" si="0"/>
        <v>0</v>
      </c>
      <c r="G41" s="73">
        <f t="shared" si="1"/>
        <v>0</v>
      </c>
      <c r="H41" s="74">
        <f t="shared" si="2"/>
        <v>0</v>
      </c>
      <c r="I41" s="75">
        <f t="shared" si="3"/>
        <v>0</v>
      </c>
      <c r="J41" s="76">
        <f t="shared" si="4"/>
        <v>0</v>
      </c>
    </row>
    <row r="42" spans="5:24" ht="21.95" customHeight="1">
      <c r="E42" s="53" t="s">
        <v>188</v>
      </c>
      <c r="F42" s="72">
        <f t="shared" si="0"/>
        <v>0</v>
      </c>
      <c r="G42" s="73">
        <f t="shared" si="1"/>
        <v>0</v>
      </c>
      <c r="H42" s="74">
        <f t="shared" si="2"/>
        <v>0</v>
      </c>
      <c r="I42" s="75">
        <f t="shared" si="3"/>
        <v>0</v>
      </c>
      <c r="J42" s="76">
        <f t="shared" si="4"/>
        <v>0</v>
      </c>
    </row>
    <row r="43" spans="5:24" ht="21.95" customHeight="1">
      <c r="E43" s="53" t="s">
        <v>188</v>
      </c>
      <c r="F43" s="72">
        <f t="shared" si="0"/>
        <v>0</v>
      </c>
      <c r="G43" s="73">
        <f t="shared" si="1"/>
        <v>0</v>
      </c>
      <c r="H43" s="74">
        <f t="shared" si="2"/>
        <v>0</v>
      </c>
      <c r="I43" s="75">
        <f t="shared" si="3"/>
        <v>0</v>
      </c>
      <c r="J43" s="76">
        <f t="shared" si="4"/>
        <v>0</v>
      </c>
    </row>
    <row r="44" spans="5:24" ht="21.95" customHeight="1">
      <c r="E44" s="53" t="s">
        <v>188</v>
      </c>
      <c r="F44" s="72">
        <f t="shared" si="0"/>
        <v>0</v>
      </c>
      <c r="G44" s="73">
        <f t="shared" si="1"/>
        <v>0</v>
      </c>
      <c r="H44" s="74">
        <f t="shared" si="2"/>
        <v>0</v>
      </c>
      <c r="I44" s="75">
        <f t="shared" si="3"/>
        <v>0</v>
      </c>
      <c r="J44" s="76">
        <f t="shared" si="4"/>
        <v>0</v>
      </c>
    </row>
    <row r="45" spans="5:24" ht="21.95" customHeight="1">
      <c r="E45" s="53" t="s">
        <v>188</v>
      </c>
      <c r="F45" s="72">
        <f t="shared" si="0"/>
        <v>0</v>
      </c>
      <c r="G45" s="73">
        <f t="shared" si="1"/>
        <v>0</v>
      </c>
      <c r="H45" s="74">
        <f t="shared" si="2"/>
        <v>0</v>
      </c>
      <c r="I45" s="75">
        <f t="shared" si="3"/>
        <v>0</v>
      </c>
      <c r="J45" s="76">
        <f t="shared" si="4"/>
        <v>0</v>
      </c>
    </row>
    <row r="46" spans="5:24" ht="21.95" customHeight="1">
      <c r="E46" s="53" t="s">
        <v>188</v>
      </c>
      <c r="F46" s="72">
        <f t="shared" si="0"/>
        <v>0</v>
      </c>
      <c r="G46" s="73">
        <f t="shared" si="1"/>
        <v>0</v>
      </c>
      <c r="H46" s="74">
        <f t="shared" si="2"/>
        <v>0</v>
      </c>
      <c r="I46" s="75">
        <f t="shared" si="3"/>
        <v>0</v>
      </c>
      <c r="J46" s="76">
        <f t="shared" si="4"/>
        <v>0</v>
      </c>
    </row>
    <row r="47" spans="5:24" ht="21.95" customHeight="1">
      <c r="E47" s="53" t="s">
        <v>188</v>
      </c>
      <c r="F47" s="72">
        <f t="shared" si="0"/>
        <v>0</v>
      </c>
      <c r="G47" s="73">
        <f t="shared" si="1"/>
        <v>0</v>
      </c>
      <c r="H47" s="74">
        <f t="shared" si="2"/>
        <v>0</v>
      </c>
      <c r="I47" s="75">
        <f t="shared" si="3"/>
        <v>0</v>
      </c>
      <c r="J47" s="76">
        <f t="shared" si="4"/>
        <v>0</v>
      </c>
    </row>
    <row r="48" spans="5:24" ht="21.95" customHeight="1">
      <c r="E48" s="53" t="s">
        <v>188</v>
      </c>
      <c r="F48" s="72">
        <f t="shared" si="0"/>
        <v>0</v>
      </c>
      <c r="G48" s="73">
        <f t="shared" si="1"/>
        <v>0</v>
      </c>
      <c r="H48" s="74">
        <f t="shared" si="2"/>
        <v>0</v>
      </c>
      <c r="I48" s="75">
        <f t="shared" si="3"/>
        <v>0</v>
      </c>
      <c r="J48" s="76">
        <f t="shared" si="4"/>
        <v>0</v>
      </c>
    </row>
    <row r="49" spans="5:10" ht="21.95" customHeight="1">
      <c r="E49" s="53" t="s">
        <v>188</v>
      </c>
      <c r="F49" s="72">
        <f t="shared" si="0"/>
        <v>0</v>
      </c>
      <c r="G49" s="73">
        <f t="shared" si="1"/>
        <v>0</v>
      </c>
      <c r="H49" s="74">
        <f t="shared" si="2"/>
        <v>0</v>
      </c>
      <c r="I49" s="75">
        <f t="shared" si="3"/>
        <v>0</v>
      </c>
      <c r="J49" s="76">
        <f t="shared" si="4"/>
        <v>0</v>
      </c>
    </row>
    <row r="50" spans="5:10" ht="21.95" customHeight="1">
      <c r="F50" s="72">
        <f t="shared" si="0"/>
        <v>0</v>
      </c>
      <c r="G50" s="73">
        <f t="shared" si="1"/>
        <v>0</v>
      </c>
      <c r="H50" s="74">
        <f t="shared" si="2"/>
        <v>0</v>
      </c>
      <c r="I50" s="75">
        <f t="shared" si="3"/>
        <v>0</v>
      </c>
      <c r="J50" s="76">
        <f t="shared" si="4"/>
        <v>0</v>
      </c>
    </row>
    <row r="51" spans="5:10" ht="21.95" customHeight="1">
      <c r="F51" s="72">
        <f t="shared" si="0"/>
        <v>0</v>
      </c>
      <c r="G51" s="73">
        <f t="shared" si="1"/>
        <v>0</v>
      </c>
      <c r="H51" s="74">
        <f t="shared" si="2"/>
        <v>0</v>
      </c>
      <c r="I51" s="75">
        <f t="shared" si="3"/>
        <v>0</v>
      </c>
      <c r="J51" s="76">
        <f t="shared" si="4"/>
        <v>0</v>
      </c>
    </row>
    <row r="52" spans="5:10" ht="21.95" customHeight="1">
      <c r="F52" s="72">
        <f t="shared" si="0"/>
        <v>0</v>
      </c>
      <c r="G52" s="73">
        <f t="shared" si="1"/>
        <v>0</v>
      </c>
      <c r="H52" s="74">
        <f t="shared" si="2"/>
        <v>0</v>
      </c>
      <c r="I52" s="75">
        <f t="shared" si="3"/>
        <v>0</v>
      </c>
      <c r="J52" s="76">
        <f t="shared" si="4"/>
        <v>0</v>
      </c>
    </row>
    <row r="53" spans="5:10" ht="21.95" customHeight="1">
      <c r="F53" s="72">
        <f t="shared" si="0"/>
        <v>0</v>
      </c>
      <c r="G53" s="73">
        <f t="shared" si="1"/>
        <v>0</v>
      </c>
      <c r="H53" s="74">
        <f t="shared" si="2"/>
        <v>0</v>
      </c>
      <c r="I53" s="75">
        <f t="shared" si="3"/>
        <v>0</v>
      </c>
      <c r="J53" s="76">
        <f t="shared" si="4"/>
        <v>0</v>
      </c>
    </row>
    <row r="54" spans="5:10" ht="22.5" customHeight="1">
      <c r="F54" s="72">
        <f t="shared" si="0"/>
        <v>0</v>
      </c>
      <c r="G54" s="73">
        <f t="shared" si="1"/>
        <v>0</v>
      </c>
      <c r="H54" s="74">
        <f t="shared" si="2"/>
        <v>0</v>
      </c>
      <c r="I54" s="75">
        <f t="shared" si="3"/>
        <v>0</v>
      </c>
      <c r="J54" s="76">
        <f t="shared" si="4"/>
        <v>0</v>
      </c>
    </row>
    <row r="55" spans="5:10" ht="21.95" customHeight="1">
      <c r="F55" s="72">
        <f t="shared" si="0"/>
        <v>0</v>
      </c>
      <c r="G55" s="73">
        <f t="shared" si="1"/>
        <v>0</v>
      </c>
      <c r="H55" s="74">
        <f t="shared" si="2"/>
        <v>0</v>
      </c>
      <c r="I55" s="75">
        <f t="shared" si="3"/>
        <v>0</v>
      </c>
      <c r="J55" s="76">
        <f t="shared" si="4"/>
        <v>0</v>
      </c>
    </row>
    <row r="56" spans="5:10" ht="21.95" customHeight="1">
      <c r="F56" s="72">
        <f t="shared" si="0"/>
        <v>0</v>
      </c>
      <c r="G56" s="73">
        <f t="shared" si="1"/>
        <v>0</v>
      </c>
      <c r="H56" s="74">
        <f t="shared" si="2"/>
        <v>0</v>
      </c>
      <c r="I56" s="75">
        <f t="shared" si="3"/>
        <v>0</v>
      </c>
      <c r="J56" s="76">
        <f t="shared" si="4"/>
        <v>0</v>
      </c>
    </row>
    <row r="57" spans="5:10" ht="21.95" customHeight="1">
      <c r="F57" s="72">
        <f t="shared" si="0"/>
        <v>0</v>
      </c>
      <c r="G57" s="73">
        <f t="shared" si="1"/>
        <v>0</v>
      </c>
      <c r="H57" s="74">
        <f t="shared" si="2"/>
        <v>0</v>
      </c>
      <c r="I57" s="75">
        <f t="shared" si="3"/>
        <v>0</v>
      </c>
      <c r="J57" s="76">
        <f t="shared" si="4"/>
        <v>0</v>
      </c>
    </row>
    <row r="58" spans="5:10" ht="21.95" customHeight="1">
      <c r="F58" s="72">
        <f t="shared" si="0"/>
        <v>0</v>
      </c>
      <c r="G58" s="73">
        <f t="shared" si="1"/>
        <v>0</v>
      </c>
      <c r="H58" s="74">
        <f t="shared" si="2"/>
        <v>0</v>
      </c>
      <c r="I58" s="75">
        <f t="shared" si="3"/>
        <v>0</v>
      </c>
      <c r="J58" s="76">
        <f t="shared" si="4"/>
        <v>0</v>
      </c>
    </row>
    <row r="59" spans="5:10" ht="21.95" customHeight="1">
      <c r="F59" s="72">
        <f t="shared" si="0"/>
        <v>0</v>
      </c>
      <c r="G59" s="73">
        <f t="shared" si="1"/>
        <v>0</v>
      </c>
      <c r="H59" s="74">
        <f t="shared" si="2"/>
        <v>0</v>
      </c>
      <c r="I59" s="75">
        <f t="shared" si="3"/>
        <v>0</v>
      </c>
      <c r="J59" s="76">
        <f t="shared" si="4"/>
        <v>0</v>
      </c>
    </row>
    <row r="60" spans="5:10" ht="21.95" customHeight="1">
      <c r="F60" s="72">
        <f t="shared" si="0"/>
        <v>0</v>
      </c>
      <c r="G60" s="73">
        <f t="shared" si="1"/>
        <v>0</v>
      </c>
      <c r="H60" s="74">
        <f t="shared" si="2"/>
        <v>0</v>
      </c>
      <c r="I60" s="75">
        <f t="shared" si="3"/>
        <v>0</v>
      </c>
      <c r="J60" s="76">
        <f t="shared" si="4"/>
        <v>0</v>
      </c>
    </row>
    <row r="61" spans="5:10" ht="21.95" customHeight="1">
      <c r="F61" s="72">
        <f t="shared" si="0"/>
        <v>0</v>
      </c>
      <c r="G61" s="73">
        <f t="shared" si="1"/>
        <v>0</v>
      </c>
      <c r="H61" s="74">
        <f t="shared" si="2"/>
        <v>0</v>
      </c>
      <c r="I61" s="75">
        <f t="shared" si="3"/>
        <v>0</v>
      </c>
      <c r="J61" s="76">
        <f t="shared" si="4"/>
        <v>0</v>
      </c>
    </row>
    <row r="62" spans="5:10" ht="21.95" customHeight="1">
      <c r="F62" s="72">
        <f t="shared" si="0"/>
        <v>0</v>
      </c>
      <c r="G62" s="73">
        <f t="shared" si="1"/>
        <v>0</v>
      </c>
      <c r="H62" s="74">
        <f t="shared" si="2"/>
        <v>0</v>
      </c>
      <c r="I62" s="75">
        <f t="shared" si="3"/>
        <v>0</v>
      </c>
      <c r="J62" s="76">
        <f t="shared" si="4"/>
        <v>0</v>
      </c>
    </row>
    <row r="63" spans="5:10" ht="21.95" customHeight="1">
      <c r="F63" s="72">
        <f t="shared" si="0"/>
        <v>0</v>
      </c>
      <c r="G63" s="73">
        <f t="shared" si="1"/>
        <v>0</v>
      </c>
      <c r="H63" s="74">
        <f t="shared" si="2"/>
        <v>0</v>
      </c>
      <c r="I63" s="75">
        <f t="shared" si="3"/>
        <v>0</v>
      </c>
      <c r="J63" s="76">
        <f t="shared" si="4"/>
        <v>0</v>
      </c>
    </row>
    <row r="64" spans="5:10" ht="21.95" customHeight="1">
      <c r="F64" s="72">
        <f t="shared" si="0"/>
        <v>0</v>
      </c>
      <c r="G64" s="73">
        <f t="shared" si="1"/>
        <v>0</v>
      </c>
      <c r="H64" s="74">
        <f t="shared" si="2"/>
        <v>0</v>
      </c>
      <c r="I64" s="75">
        <f t="shared" si="3"/>
        <v>0</v>
      </c>
      <c r="J64" s="76">
        <f t="shared" si="4"/>
        <v>0</v>
      </c>
    </row>
    <row r="65" spans="2:21" ht="21.95" customHeight="1">
      <c r="F65" s="72">
        <f t="shared" si="0"/>
        <v>0</v>
      </c>
      <c r="G65" s="73">
        <f t="shared" si="1"/>
        <v>0</v>
      </c>
      <c r="H65" s="74">
        <f t="shared" si="2"/>
        <v>0</v>
      </c>
      <c r="I65" s="75">
        <f t="shared" si="3"/>
        <v>0</v>
      </c>
      <c r="J65" s="76">
        <f t="shared" si="4"/>
        <v>0</v>
      </c>
    </row>
    <row r="66" spans="2:21" ht="21.95" customHeight="1">
      <c r="F66" s="72">
        <f t="shared" si="0"/>
        <v>0</v>
      </c>
      <c r="G66" s="73">
        <f t="shared" si="1"/>
        <v>0</v>
      </c>
      <c r="H66" s="74">
        <f t="shared" si="2"/>
        <v>0</v>
      </c>
      <c r="I66" s="75">
        <f t="shared" si="3"/>
        <v>0</v>
      </c>
      <c r="J66" s="76">
        <f t="shared" si="4"/>
        <v>0</v>
      </c>
    </row>
    <row r="67" spans="2:21" ht="21.95" customHeight="1">
      <c r="F67" s="72">
        <f t="shared" ref="F67:F130" si="5">COUNTIF(L67:AA67,2)*15/60+COUNTIF(AF67:AU67,2)*15/60+COUNTIF(AX67:BS67,4)*15/60</f>
        <v>0</v>
      </c>
      <c r="G67" s="73">
        <f t="shared" ref="G67:G130" si="6">COUNTIF(L67:AA67,2)*15/60 + COUNTIF(AF67:AU67,2)*15/60 + COUNTIF(L67:AA67,3)*15/60 + COUNTIF(AF67:AU67,3)*15/60 + COUNTIF(AX67:BS67,4)*15/60</f>
        <v>0</v>
      </c>
      <c r="H67" s="74">
        <f t="shared" ref="H67:H130" si="7">F67-G67</f>
        <v>0</v>
      </c>
      <c r="I67" s="75">
        <f t="shared" ref="I67:I130" si="8">COUNTIF(AX67:BS67,4)*15/60</f>
        <v>0</v>
      </c>
      <c r="J67" s="76">
        <f t="shared" ref="J67:J130" si="9">COUNTIF(L67:AA67,5)*15/60 + COUNTIF(AF67:AU67,5)*15/60</f>
        <v>0</v>
      </c>
    </row>
    <row r="68" spans="2:21" ht="21.95" customHeight="1">
      <c r="F68" s="72">
        <f t="shared" si="5"/>
        <v>0</v>
      </c>
      <c r="G68" s="73">
        <f t="shared" si="6"/>
        <v>0</v>
      </c>
      <c r="H68" s="74">
        <f t="shared" si="7"/>
        <v>0</v>
      </c>
      <c r="I68" s="75">
        <f t="shared" si="8"/>
        <v>0</v>
      </c>
      <c r="J68" s="76">
        <f t="shared" si="9"/>
        <v>0</v>
      </c>
    </row>
    <row r="69" spans="2:21" ht="21.95" customHeight="1">
      <c r="F69" s="72">
        <f t="shared" si="5"/>
        <v>0</v>
      </c>
      <c r="G69" s="73">
        <f t="shared" si="6"/>
        <v>0</v>
      </c>
      <c r="H69" s="74">
        <f t="shared" si="7"/>
        <v>0</v>
      </c>
      <c r="I69" s="75">
        <f t="shared" si="8"/>
        <v>0</v>
      </c>
      <c r="J69" s="76">
        <f t="shared" si="9"/>
        <v>0</v>
      </c>
      <c r="T69" s="57"/>
      <c r="U69" s="58"/>
    </row>
    <row r="70" spans="2:21" ht="21.95" customHeight="1">
      <c r="F70" s="72">
        <f t="shared" si="5"/>
        <v>0</v>
      </c>
      <c r="G70" s="73">
        <f t="shared" si="6"/>
        <v>0</v>
      </c>
      <c r="H70" s="74">
        <f t="shared" si="7"/>
        <v>0</v>
      </c>
      <c r="I70" s="75">
        <f t="shared" si="8"/>
        <v>0</v>
      </c>
      <c r="J70" s="76">
        <f t="shared" si="9"/>
        <v>0</v>
      </c>
      <c r="T70" s="57"/>
      <c r="U70" s="58"/>
    </row>
    <row r="71" spans="2:21" ht="21.95" customHeight="1">
      <c r="F71" s="72">
        <f t="shared" si="5"/>
        <v>0</v>
      </c>
      <c r="G71" s="73">
        <f t="shared" si="6"/>
        <v>0</v>
      </c>
      <c r="H71" s="74">
        <f t="shared" si="7"/>
        <v>0</v>
      </c>
      <c r="I71" s="75">
        <f t="shared" si="8"/>
        <v>0</v>
      </c>
      <c r="J71" s="76">
        <f t="shared" si="9"/>
        <v>0</v>
      </c>
      <c r="T71" s="57"/>
      <c r="U71" s="58"/>
    </row>
    <row r="72" spans="2:21" ht="21.95" customHeight="1">
      <c r="F72" s="72">
        <f t="shared" si="5"/>
        <v>0</v>
      </c>
      <c r="G72" s="73">
        <f t="shared" si="6"/>
        <v>0</v>
      </c>
      <c r="H72" s="74">
        <f t="shared" si="7"/>
        <v>0</v>
      </c>
      <c r="I72" s="75">
        <f t="shared" si="8"/>
        <v>0</v>
      </c>
      <c r="J72" s="76">
        <f t="shared" si="9"/>
        <v>0</v>
      </c>
    </row>
    <row r="73" spans="2:21" ht="21.95" customHeight="1">
      <c r="F73" s="72">
        <f t="shared" si="5"/>
        <v>0</v>
      </c>
      <c r="G73" s="73">
        <f t="shared" si="6"/>
        <v>0</v>
      </c>
      <c r="H73" s="74">
        <f t="shared" si="7"/>
        <v>0</v>
      </c>
      <c r="I73" s="75">
        <f t="shared" si="8"/>
        <v>0</v>
      </c>
      <c r="J73" s="76">
        <f t="shared" si="9"/>
        <v>0</v>
      </c>
    </row>
    <row r="74" spans="2:21" ht="21.95" customHeight="1">
      <c r="F74" s="72">
        <f t="shared" si="5"/>
        <v>0</v>
      </c>
      <c r="G74" s="73">
        <f t="shared" si="6"/>
        <v>0</v>
      </c>
      <c r="H74" s="74">
        <f t="shared" si="7"/>
        <v>0</v>
      </c>
      <c r="I74" s="75">
        <f t="shared" si="8"/>
        <v>0</v>
      </c>
      <c r="J74" s="76">
        <f t="shared" si="9"/>
        <v>0</v>
      </c>
    </row>
    <row r="75" spans="2:21" ht="21.95" customHeight="1">
      <c r="F75" s="72">
        <f t="shared" si="5"/>
        <v>0</v>
      </c>
      <c r="G75" s="73">
        <f t="shared" si="6"/>
        <v>0</v>
      </c>
      <c r="H75" s="74">
        <f t="shared" si="7"/>
        <v>0</v>
      </c>
      <c r="I75" s="75">
        <f t="shared" si="8"/>
        <v>0</v>
      </c>
      <c r="J75" s="76">
        <f t="shared" si="9"/>
        <v>0</v>
      </c>
    </row>
    <row r="76" spans="2:21" ht="21.95" customHeight="1">
      <c r="F76" s="72">
        <f t="shared" si="5"/>
        <v>0</v>
      </c>
      <c r="G76" s="73">
        <f t="shared" si="6"/>
        <v>0</v>
      </c>
      <c r="H76" s="74">
        <f t="shared" si="7"/>
        <v>0</v>
      </c>
      <c r="I76" s="75">
        <f t="shared" si="8"/>
        <v>0</v>
      </c>
      <c r="J76" s="76">
        <f t="shared" si="9"/>
        <v>0</v>
      </c>
    </row>
    <row r="77" spans="2:21" ht="21.95" customHeight="1">
      <c r="F77" s="72">
        <f t="shared" si="5"/>
        <v>0</v>
      </c>
      <c r="G77" s="73">
        <f t="shared" si="6"/>
        <v>0</v>
      </c>
      <c r="H77" s="74">
        <f t="shared" si="7"/>
        <v>0</v>
      </c>
      <c r="I77" s="75">
        <f t="shared" si="8"/>
        <v>0</v>
      </c>
      <c r="J77" s="76">
        <f t="shared" si="9"/>
        <v>0</v>
      </c>
    </row>
    <row r="78" spans="2:21" ht="21.95" customHeight="1">
      <c r="B78" s="116"/>
      <c r="F78" s="72">
        <f t="shared" si="5"/>
        <v>0</v>
      </c>
      <c r="G78" s="73">
        <f t="shared" si="6"/>
        <v>0</v>
      </c>
      <c r="H78" s="74">
        <f t="shared" si="7"/>
        <v>0</v>
      </c>
      <c r="I78" s="75">
        <f t="shared" si="8"/>
        <v>0</v>
      </c>
      <c r="J78" s="76">
        <f t="shared" si="9"/>
        <v>0</v>
      </c>
    </row>
    <row r="79" spans="2:21" ht="21.95" customHeight="1">
      <c r="B79" s="116"/>
      <c r="F79" s="72">
        <f t="shared" si="5"/>
        <v>0</v>
      </c>
      <c r="G79" s="73">
        <f t="shared" si="6"/>
        <v>0</v>
      </c>
      <c r="H79" s="74">
        <f t="shared" si="7"/>
        <v>0</v>
      </c>
      <c r="I79" s="75">
        <f t="shared" si="8"/>
        <v>0</v>
      </c>
      <c r="J79" s="76">
        <f t="shared" si="9"/>
        <v>0</v>
      </c>
    </row>
    <row r="80" spans="2:21" ht="21.95" customHeight="1">
      <c r="B80" s="116"/>
      <c r="F80" s="72">
        <f t="shared" si="5"/>
        <v>0</v>
      </c>
      <c r="G80" s="73">
        <f t="shared" si="6"/>
        <v>0</v>
      </c>
      <c r="H80" s="74">
        <f t="shared" si="7"/>
        <v>0</v>
      </c>
      <c r="I80" s="75">
        <f t="shared" si="8"/>
        <v>0</v>
      </c>
      <c r="J80" s="76">
        <f t="shared" si="9"/>
        <v>0</v>
      </c>
    </row>
    <row r="81" spans="1:10" ht="21.95" customHeight="1">
      <c r="B81" s="116"/>
      <c r="F81" s="72">
        <f t="shared" si="5"/>
        <v>0</v>
      </c>
      <c r="G81" s="73">
        <f t="shared" si="6"/>
        <v>0</v>
      </c>
      <c r="H81" s="74">
        <f t="shared" si="7"/>
        <v>0</v>
      </c>
      <c r="I81" s="75">
        <f t="shared" si="8"/>
        <v>0</v>
      </c>
      <c r="J81" s="76">
        <f t="shared" si="9"/>
        <v>0</v>
      </c>
    </row>
    <row r="82" spans="1:10" ht="21.95" customHeight="1">
      <c r="B82" s="116"/>
      <c r="F82" s="72">
        <f t="shared" si="5"/>
        <v>0</v>
      </c>
      <c r="G82" s="73">
        <f t="shared" si="6"/>
        <v>0</v>
      </c>
      <c r="H82" s="74">
        <f t="shared" si="7"/>
        <v>0</v>
      </c>
      <c r="I82" s="75">
        <f t="shared" si="8"/>
        <v>0</v>
      </c>
      <c r="J82" s="76">
        <f t="shared" si="9"/>
        <v>0</v>
      </c>
    </row>
    <row r="83" spans="1:10" ht="21.95" customHeight="1">
      <c r="B83" s="116"/>
      <c r="F83" s="72">
        <f t="shared" si="5"/>
        <v>0</v>
      </c>
      <c r="G83" s="73">
        <f t="shared" si="6"/>
        <v>0</v>
      </c>
      <c r="H83" s="74">
        <f t="shared" si="7"/>
        <v>0</v>
      </c>
      <c r="I83" s="75">
        <f t="shared" si="8"/>
        <v>0</v>
      </c>
      <c r="J83" s="76">
        <f t="shared" si="9"/>
        <v>0</v>
      </c>
    </row>
    <row r="84" spans="1:10" ht="21.95" customHeight="1">
      <c r="B84" s="116"/>
      <c r="F84" s="72">
        <f t="shared" si="5"/>
        <v>0</v>
      </c>
      <c r="G84" s="73">
        <f t="shared" si="6"/>
        <v>0</v>
      </c>
      <c r="H84" s="74">
        <f t="shared" si="7"/>
        <v>0</v>
      </c>
      <c r="I84" s="75">
        <f t="shared" si="8"/>
        <v>0</v>
      </c>
      <c r="J84" s="76">
        <f t="shared" si="9"/>
        <v>0</v>
      </c>
    </row>
    <row r="85" spans="1:10" ht="21.95" customHeight="1">
      <c r="B85" s="117"/>
      <c r="F85" s="72">
        <f t="shared" si="5"/>
        <v>0</v>
      </c>
      <c r="G85" s="73">
        <f t="shared" si="6"/>
        <v>0</v>
      </c>
      <c r="H85" s="74">
        <f t="shared" si="7"/>
        <v>0</v>
      </c>
      <c r="I85" s="75">
        <f t="shared" si="8"/>
        <v>0</v>
      </c>
      <c r="J85" s="76">
        <f t="shared" si="9"/>
        <v>0</v>
      </c>
    </row>
    <row r="86" spans="1:10" ht="21.95" customHeight="1">
      <c r="B86" s="119"/>
      <c r="F86" s="72">
        <f t="shared" si="5"/>
        <v>0</v>
      </c>
      <c r="G86" s="73">
        <f t="shared" si="6"/>
        <v>0</v>
      </c>
      <c r="H86" s="74">
        <f t="shared" si="7"/>
        <v>0</v>
      </c>
      <c r="I86" s="75">
        <f t="shared" si="8"/>
        <v>0</v>
      </c>
      <c r="J86" s="76">
        <f t="shared" si="9"/>
        <v>0</v>
      </c>
    </row>
    <row r="87" spans="1:10" ht="21.95" customHeight="1">
      <c r="A87" s="115"/>
      <c r="F87" s="72">
        <f t="shared" si="5"/>
        <v>0</v>
      </c>
      <c r="G87" s="73">
        <f t="shared" si="6"/>
        <v>0</v>
      </c>
      <c r="H87" s="74">
        <f t="shared" si="7"/>
        <v>0</v>
      </c>
      <c r="I87" s="75">
        <f t="shared" si="8"/>
        <v>0</v>
      </c>
      <c r="J87" s="76">
        <f t="shared" si="9"/>
        <v>0</v>
      </c>
    </row>
    <row r="88" spans="1:10" ht="21.95" customHeight="1">
      <c r="A88" s="115"/>
      <c r="F88" s="72">
        <f t="shared" si="5"/>
        <v>0</v>
      </c>
      <c r="G88" s="73">
        <f t="shared" si="6"/>
        <v>0</v>
      </c>
      <c r="H88" s="74">
        <f t="shared" si="7"/>
        <v>0</v>
      </c>
      <c r="I88" s="75">
        <f t="shared" si="8"/>
        <v>0</v>
      </c>
      <c r="J88" s="76">
        <f t="shared" si="9"/>
        <v>0</v>
      </c>
    </row>
    <row r="89" spans="1:10" ht="21.95" customHeight="1">
      <c r="A89" s="115"/>
      <c r="F89" s="72">
        <f t="shared" si="5"/>
        <v>0</v>
      </c>
      <c r="G89" s="73">
        <f t="shared" si="6"/>
        <v>0</v>
      </c>
      <c r="H89" s="74">
        <f t="shared" si="7"/>
        <v>0</v>
      </c>
      <c r="I89" s="75">
        <f t="shared" si="8"/>
        <v>0</v>
      </c>
      <c r="J89" s="76">
        <f t="shared" si="9"/>
        <v>0</v>
      </c>
    </row>
    <row r="90" spans="1:10" ht="21.95" customHeight="1">
      <c r="A90" s="115"/>
      <c r="F90" s="72">
        <f t="shared" si="5"/>
        <v>0</v>
      </c>
      <c r="G90" s="73">
        <f t="shared" si="6"/>
        <v>0</v>
      </c>
      <c r="H90" s="74">
        <f t="shared" si="7"/>
        <v>0</v>
      </c>
      <c r="I90" s="75">
        <f t="shared" si="8"/>
        <v>0</v>
      </c>
      <c r="J90" s="76">
        <f t="shared" si="9"/>
        <v>0</v>
      </c>
    </row>
    <row r="91" spans="1:10" ht="21.95" customHeight="1">
      <c r="A91" s="115"/>
      <c r="F91" s="72">
        <f t="shared" si="5"/>
        <v>0</v>
      </c>
      <c r="G91" s="73">
        <f t="shared" si="6"/>
        <v>0</v>
      </c>
      <c r="H91" s="74">
        <f t="shared" si="7"/>
        <v>0</v>
      </c>
      <c r="I91" s="75">
        <f t="shared" si="8"/>
        <v>0</v>
      </c>
      <c r="J91" s="76">
        <f t="shared" si="9"/>
        <v>0</v>
      </c>
    </row>
    <row r="92" spans="1:10" ht="21.95" customHeight="1">
      <c r="A92" s="115"/>
      <c r="F92" s="72">
        <f t="shared" si="5"/>
        <v>0</v>
      </c>
      <c r="G92" s="73">
        <f t="shared" si="6"/>
        <v>0</v>
      </c>
      <c r="H92" s="74">
        <f t="shared" si="7"/>
        <v>0</v>
      </c>
      <c r="I92" s="75">
        <f t="shared" si="8"/>
        <v>0</v>
      </c>
      <c r="J92" s="76">
        <f t="shared" si="9"/>
        <v>0</v>
      </c>
    </row>
    <row r="93" spans="1:10" ht="21.95" customHeight="1">
      <c r="A93" s="115"/>
      <c r="F93" s="72">
        <f t="shared" si="5"/>
        <v>0</v>
      </c>
      <c r="G93" s="73">
        <f t="shared" si="6"/>
        <v>0</v>
      </c>
      <c r="H93" s="74">
        <f t="shared" si="7"/>
        <v>0</v>
      </c>
      <c r="I93" s="75">
        <f t="shared" si="8"/>
        <v>0</v>
      </c>
      <c r="J93" s="76">
        <f t="shared" si="9"/>
        <v>0</v>
      </c>
    </row>
    <row r="94" spans="1:10" ht="21.95" customHeight="1">
      <c r="A94" s="115"/>
      <c r="F94" s="72">
        <f t="shared" si="5"/>
        <v>0</v>
      </c>
      <c r="G94" s="73">
        <f t="shared" si="6"/>
        <v>0</v>
      </c>
      <c r="H94" s="74">
        <f t="shared" si="7"/>
        <v>0</v>
      </c>
      <c r="I94" s="75">
        <f t="shared" si="8"/>
        <v>0</v>
      </c>
      <c r="J94" s="76">
        <f t="shared" si="9"/>
        <v>0</v>
      </c>
    </row>
    <row r="95" spans="1:10" ht="21.95" customHeight="1">
      <c r="A95" s="115"/>
      <c r="F95" s="72">
        <f t="shared" si="5"/>
        <v>0</v>
      </c>
      <c r="G95" s="73">
        <f t="shared" si="6"/>
        <v>0</v>
      </c>
      <c r="H95" s="74">
        <f t="shared" si="7"/>
        <v>0</v>
      </c>
      <c r="I95" s="75">
        <f t="shared" si="8"/>
        <v>0</v>
      </c>
      <c r="J95" s="76">
        <f t="shared" si="9"/>
        <v>0</v>
      </c>
    </row>
    <row r="96" spans="1:10" ht="21.95" customHeight="1">
      <c r="A96" s="115"/>
      <c r="F96" s="72">
        <f t="shared" si="5"/>
        <v>0</v>
      </c>
      <c r="G96" s="73">
        <f t="shared" si="6"/>
        <v>0</v>
      </c>
      <c r="H96" s="74">
        <f t="shared" si="7"/>
        <v>0</v>
      </c>
      <c r="I96" s="75">
        <f t="shared" si="8"/>
        <v>0</v>
      </c>
      <c r="J96" s="76">
        <f t="shared" si="9"/>
        <v>0</v>
      </c>
    </row>
    <row r="97" spans="1:10" ht="21.95" customHeight="1">
      <c r="A97" s="115"/>
      <c r="F97" s="72">
        <f t="shared" si="5"/>
        <v>0</v>
      </c>
      <c r="G97" s="73">
        <f t="shared" si="6"/>
        <v>0</v>
      </c>
      <c r="H97" s="74">
        <f t="shared" si="7"/>
        <v>0</v>
      </c>
      <c r="I97" s="75">
        <f t="shared" si="8"/>
        <v>0</v>
      </c>
      <c r="J97" s="76">
        <f t="shared" si="9"/>
        <v>0</v>
      </c>
    </row>
    <row r="98" spans="1:10" ht="21.95" customHeight="1">
      <c r="A98" s="115"/>
      <c r="F98" s="72">
        <f t="shared" si="5"/>
        <v>0</v>
      </c>
      <c r="G98" s="73">
        <f t="shared" si="6"/>
        <v>0</v>
      </c>
      <c r="H98" s="74">
        <f t="shared" si="7"/>
        <v>0</v>
      </c>
      <c r="I98" s="75">
        <f t="shared" si="8"/>
        <v>0</v>
      </c>
      <c r="J98" s="76">
        <f t="shared" si="9"/>
        <v>0</v>
      </c>
    </row>
    <row r="99" spans="1:10" ht="21.95" customHeight="1">
      <c r="A99" s="115"/>
      <c r="F99" s="72">
        <f t="shared" si="5"/>
        <v>0</v>
      </c>
      <c r="G99" s="73">
        <f t="shared" si="6"/>
        <v>0</v>
      </c>
      <c r="H99" s="74">
        <f t="shared" si="7"/>
        <v>0</v>
      </c>
      <c r="I99" s="75">
        <f t="shared" si="8"/>
        <v>0</v>
      </c>
      <c r="J99" s="76">
        <f t="shared" si="9"/>
        <v>0</v>
      </c>
    </row>
    <row r="100" spans="1:10" ht="21.95" customHeight="1">
      <c r="A100" s="115"/>
      <c r="F100" s="72">
        <f t="shared" si="5"/>
        <v>0</v>
      </c>
      <c r="G100" s="73">
        <f t="shared" si="6"/>
        <v>0</v>
      </c>
      <c r="H100" s="74">
        <f t="shared" si="7"/>
        <v>0</v>
      </c>
      <c r="I100" s="75">
        <f t="shared" si="8"/>
        <v>0</v>
      </c>
      <c r="J100" s="76">
        <f t="shared" si="9"/>
        <v>0</v>
      </c>
    </row>
    <row r="101" spans="1:10" ht="21.95" customHeight="1">
      <c r="A101" s="115"/>
      <c r="F101" s="72">
        <f t="shared" si="5"/>
        <v>0</v>
      </c>
      <c r="G101" s="73">
        <f t="shared" si="6"/>
        <v>0</v>
      </c>
      <c r="H101" s="74">
        <f t="shared" si="7"/>
        <v>0</v>
      </c>
      <c r="I101" s="75">
        <f t="shared" si="8"/>
        <v>0</v>
      </c>
      <c r="J101" s="76">
        <f t="shared" si="9"/>
        <v>0</v>
      </c>
    </row>
    <row r="102" spans="1:10" ht="21.95" customHeight="1">
      <c r="A102" s="115"/>
      <c r="F102" s="72">
        <f t="shared" si="5"/>
        <v>0</v>
      </c>
      <c r="G102" s="73">
        <f t="shared" si="6"/>
        <v>0</v>
      </c>
      <c r="H102" s="74">
        <f t="shared" si="7"/>
        <v>0</v>
      </c>
      <c r="I102" s="75">
        <f t="shared" si="8"/>
        <v>0</v>
      </c>
      <c r="J102" s="76">
        <f t="shared" si="9"/>
        <v>0</v>
      </c>
    </row>
    <row r="103" spans="1:10" ht="21.95" customHeight="1">
      <c r="A103" s="115"/>
      <c r="F103" s="72">
        <f t="shared" si="5"/>
        <v>0</v>
      </c>
      <c r="G103" s="73">
        <f t="shared" si="6"/>
        <v>0</v>
      </c>
      <c r="H103" s="74">
        <f t="shared" si="7"/>
        <v>0</v>
      </c>
      <c r="I103" s="75">
        <f t="shared" si="8"/>
        <v>0</v>
      </c>
      <c r="J103" s="76">
        <f t="shared" si="9"/>
        <v>0</v>
      </c>
    </row>
    <row r="104" spans="1:10" ht="21.95" customHeight="1">
      <c r="A104" s="115"/>
      <c r="F104" s="72">
        <f t="shared" si="5"/>
        <v>0</v>
      </c>
      <c r="G104" s="73">
        <f t="shared" si="6"/>
        <v>0</v>
      </c>
      <c r="H104" s="74">
        <f t="shared" si="7"/>
        <v>0</v>
      </c>
      <c r="I104" s="75">
        <f t="shared" si="8"/>
        <v>0</v>
      </c>
      <c r="J104" s="76">
        <f t="shared" si="9"/>
        <v>0</v>
      </c>
    </row>
    <row r="105" spans="1:10" ht="21.95" customHeight="1">
      <c r="A105" s="115"/>
      <c r="F105" s="72">
        <f t="shared" si="5"/>
        <v>0</v>
      </c>
      <c r="G105" s="73">
        <f t="shared" si="6"/>
        <v>0</v>
      </c>
      <c r="H105" s="74">
        <f t="shared" si="7"/>
        <v>0</v>
      </c>
      <c r="I105" s="75">
        <f t="shared" si="8"/>
        <v>0</v>
      </c>
      <c r="J105" s="76">
        <f t="shared" si="9"/>
        <v>0</v>
      </c>
    </row>
    <row r="106" spans="1:10" ht="21.95" customHeight="1">
      <c r="A106" s="115"/>
      <c r="F106" s="72">
        <f t="shared" si="5"/>
        <v>0</v>
      </c>
      <c r="G106" s="73">
        <f t="shared" si="6"/>
        <v>0</v>
      </c>
      <c r="H106" s="74">
        <f t="shared" si="7"/>
        <v>0</v>
      </c>
      <c r="I106" s="75">
        <f t="shared" si="8"/>
        <v>0</v>
      </c>
      <c r="J106" s="76">
        <f t="shared" si="9"/>
        <v>0</v>
      </c>
    </row>
    <row r="107" spans="1:10" ht="21.95" customHeight="1">
      <c r="A107" s="115"/>
      <c r="F107" s="72">
        <f t="shared" si="5"/>
        <v>0</v>
      </c>
      <c r="G107" s="73">
        <f t="shared" si="6"/>
        <v>0</v>
      </c>
      <c r="H107" s="74">
        <f t="shared" si="7"/>
        <v>0</v>
      </c>
      <c r="I107" s="75">
        <f t="shared" si="8"/>
        <v>0</v>
      </c>
      <c r="J107" s="76">
        <f t="shared" si="9"/>
        <v>0</v>
      </c>
    </row>
    <row r="108" spans="1:10" ht="21.95" customHeight="1">
      <c r="A108" s="115"/>
      <c r="F108" s="72">
        <f t="shared" si="5"/>
        <v>0</v>
      </c>
      <c r="G108" s="73">
        <f t="shared" si="6"/>
        <v>0</v>
      </c>
      <c r="H108" s="74">
        <f t="shared" si="7"/>
        <v>0</v>
      </c>
      <c r="I108" s="75">
        <f t="shared" si="8"/>
        <v>0</v>
      </c>
      <c r="J108" s="76">
        <f t="shared" si="9"/>
        <v>0</v>
      </c>
    </row>
    <row r="109" spans="1:10" ht="21.95" customHeight="1">
      <c r="A109" s="115"/>
      <c r="F109" s="72">
        <f t="shared" si="5"/>
        <v>0</v>
      </c>
      <c r="G109" s="73">
        <f t="shared" si="6"/>
        <v>0</v>
      </c>
      <c r="H109" s="74">
        <f t="shared" si="7"/>
        <v>0</v>
      </c>
      <c r="I109" s="75">
        <f t="shared" si="8"/>
        <v>0</v>
      </c>
      <c r="J109" s="76">
        <f t="shared" si="9"/>
        <v>0</v>
      </c>
    </row>
    <row r="110" spans="1:10" ht="21.95" customHeight="1">
      <c r="A110" s="115"/>
      <c r="F110" s="72">
        <f t="shared" si="5"/>
        <v>0</v>
      </c>
      <c r="G110" s="73">
        <f t="shared" si="6"/>
        <v>0</v>
      </c>
      <c r="H110" s="74">
        <f t="shared" si="7"/>
        <v>0</v>
      </c>
      <c r="I110" s="75">
        <f t="shared" si="8"/>
        <v>0</v>
      </c>
      <c r="J110" s="76">
        <f t="shared" si="9"/>
        <v>0</v>
      </c>
    </row>
    <row r="111" spans="1:10" ht="21.95" customHeight="1">
      <c r="A111" s="115"/>
      <c r="F111" s="72">
        <f t="shared" si="5"/>
        <v>0</v>
      </c>
      <c r="G111" s="73">
        <f t="shared" si="6"/>
        <v>0</v>
      </c>
      <c r="H111" s="74">
        <f t="shared" si="7"/>
        <v>0</v>
      </c>
      <c r="I111" s="75">
        <f t="shared" si="8"/>
        <v>0</v>
      </c>
      <c r="J111" s="76">
        <f t="shared" si="9"/>
        <v>0</v>
      </c>
    </row>
    <row r="112" spans="1:10" ht="21.95" customHeight="1">
      <c r="A112" s="115"/>
      <c r="F112" s="72">
        <f t="shared" si="5"/>
        <v>0</v>
      </c>
      <c r="G112" s="73">
        <f t="shared" si="6"/>
        <v>0</v>
      </c>
      <c r="H112" s="74">
        <f t="shared" si="7"/>
        <v>0</v>
      </c>
      <c r="I112" s="75">
        <f t="shared" si="8"/>
        <v>0</v>
      </c>
      <c r="J112" s="76">
        <f t="shared" si="9"/>
        <v>0</v>
      </c>
    </row>
    <row r="113" spans="1:10" ht="21.95" customHeight="1">
      <c r="A113" s="115"/>
      <c r="F113" s="72">
        <f t="shared" si="5"/>
        <v>0</v>
      </c>
      <c r="G113" s="73">
        <f t="shared" si="6"/>
        <v>0</v>
      </c>
      <c r="H113" s="74">
        <f t="shared" si="7"/>
        <v>0</v>
      </c>
      <c r="I113" s="75">
        <f t="shared" si="8"/>
        <v>0</v>
      </c>
      <c r="J113" s="76">
        <f t="shared" si="9"/>
        <v>0</v>
      </c>
    </row>
    <row r="114" spans="1:10" ht="21.95" customHeight="1">
      <c r="A114" s="115"/>
      <c r="F114" s="72">
        <f t="shared" si="5"/>
        <v>0</v>
      </c>
      <c r="G114" s="73">
        <f t="shared" si="6"/>
        <v>0</v>
      </c>
      <c r="H114" s="74">
        <f t="shared" si="7"/>
        <v>0</v>
      </c>
      <c r="I114" s="75">
        <f t="shared" si="8"/>
        <v>0</v>
      </c>
      <c r="J114" s="76">
        <f t="shared" si="9"/>
        <v>0</v>
      </c>
    </row>
    <row r="115" spans="1:10" ht="21.95" customHeight="1">
      <c r="A115" s="115"/>
      <c r="F115" s="72">
        <f t="shared" si="5"/>
        <v>0</v>
      </c>
      <c r="G115" s="73">
        <f t="shared" si="6"/>
        <v>0</v>
      </c>
      <c r="H115" s="74">
        <f t="shared" si="7"/>
        <v>0</v>
      </c>
      <c r="I115" s="75">
        <f t="shared" si="8"/>
        <v>0</v>
      </c>
      <c r="J115" s="76">
        <f t="shared" si="9"/>
        <v>0</v>
      </c>
    </row>
    <row r="116" spans="1:10" ht="21.95" customHeight="1">
      <c r="A116" s="115"/>
      <c r="F116" s="72">
        <f t="shared" si="5"/>
        <v>0</v>
      </c>
      <c r="G116" s="73">
        <f t="shared" si="6"/>
        <v>0</v>
      </c>
      <c r="H116" s="74">
        <f t="shared" si="7"/>
        <v>0</v>
      </c>
      <c r="I116" s="75">
        <f t="shared" si="8"/>
        <v>0</v>
      </c>
      <c r="J116" s="76">
        <f t="shared" si="9"/>
        <v>0</v>
      </c>
    </row>
    <row r="117" spans="1:10" ht="21.95" customHeight="1">
      <c r="A117" s="115"/>
      <c r="F117" s="72">
        <f t="shared" si="5"/>
        <v>0</v>
      </c>
      <c r="G117" s="73">
        <f t="shared" si="6"/>
        <v>0</v>
      </c>
      <c r="H117" s="74">
        <f t="shared" si="7"/>
        <v>0</v>
      </c>
      <c r="I117" s="75">
        <f t="shared" si="8"/>
        <v>0</v>
      </c>
      <c r="J117" s="76">
        <f t="shared" si="9"/>
        <v>0</v>
      </c>
    </row>
    <row r="118" spans="1:10" ht="21.95" customHeight="1">
      <c r="A118" s="115"/>
      <c r="F118" s="72">
        <f t="shared" si="5"/>
        <v>0</v>
      </c>
      <c r="G118" s="73">
        <f t="shared" si="6"/>
        <v>0</v>
      </c>
      <c r="H118" s="74">
        <f t="shared" si="7"/>
        <v>0</v>
      </c>
      <c r="I118" s="75">
        <f t="shared" si="8"/>
        <v>0</v>
      </c>
      <c r="J118" s="76">
        <f t="shared" si="9"/>
        <v>0</v>
      </c>
    </row>
    <row r="119" spans="1:10" ht="21.95" customHeight="1">
      <c r="A119" s="115"/>
      <c r="F119" s="72">
        <f t="shared" si="5"/>
        <v>0</v>
      </c>
      <c r="G119" s="73">
        <f t="shared" si="6"/>
        <v>0</v>
      </c>
      <c r="H119" s="74">
        <f t="shared" si="7"/>
        <v>0</v>
      </c>
      <c r="I119" s="75">
        <f t="shared" si="8"/>
        <v>0</v>
      </c>
      <c r="J119" s="76">
        <f t="shared" si="9"/>
        <v>0</v>
      </c>
    </row>
    <row r="120" spans="1:10" ht="21.95" customHeight="1">
      <c r="A120" s="115"/>
      <c r="F120" s="72">
        <f t="shared" si="5"/>
        <v>0</v>
      </c>
      <c r="G120" s="73">
        <f t="shared" si="6"/>
        <v>0</v>
      </c>
      <c r="H120" s="74">
        <f t="shared" si="7"/>
        <v>0</v>
      </c>
      <c r="I120" s="75">
        <f t="shared" si="8"/>
        <v>0</v>
      </c>
      <c r="J120" s="76">
        <f t="shared" si="9"/>
        <v>0</v>
      </c>
    </row>
    <row r="121" spans="1:10" ht="21.95" customHeight="1">
      <c r="A121" s="115"/>
      <c r="F121" s="72">
        <f t="shared" si="5"/>
        <v>0</v>
      </c>
      <c r="G121" s="73">
        <f t="shared" si="6"/>
        <v>0</v>
      </c>
      <c r="H121" s="74">
        <f t="shared" si="7"/>
        <v>0</v>
      </c>
      <c r="I121" s="75">
        <f t="shared" si="8"/>
        <v>0</v>
      </c>
      <c r="J121" s="76">
        <f t="shared" si="9"/>
        <v>0</v>
      </c>
    </row>
    <row r="122" spans="1:10" ht="21.95" customHeight="1">
      <c r="A122" s="115"/>
      <c r="F122" s="72">
        <f t="shared" si="5"/>
        <v>0</v>
      </c>
      <c r="G122" s="73">
        <f t="shared" si="6"/>
        <v>0</v>
      </c>
      <c r="H122" s="74">
        <f t="shared" si="7"/>
        <v>0</v>
      </c>
      <c r="I122" s="75">
        <f t="shared" si="8"/>
        <v>0</v>
      </c>
      <c r="J122" s="76">
        <f t="shared" si="9"/>
        <v>0</v>
      </c>
    </row>
    <row r="123" spans="1:10" ht="21.95" customHeight="1">
      <c r="A123" s="115"/>
      <c r="F123" s="72">
        <f t="shared" si="5"/>
        <v>0</v>
      </c>
      <c r="G123" s="73">
        <f t="shared" si="6"/>
        <v>0</v>
      </c>
      <c r="H123" s="74">
        <f t="shared" si="7"/>
        <v>0</v>
      </c>
      <c r="I123" s="75">
        <f t="shared" si="8"/>
        <v>0</v>
      </c>
      <c r="J123" s="76">
        <f t="shared" si="9"/>
        <v>0</v>
      </c>
    </row>
    <row r="124" spans="1:10" ht="21.95" customHeight="1">
      <c r="A124" s="115"/>
      <c r="F124" s="72">
        <f t="shared" si="5"/>
        <v>0</v>
      </c>
      <c r="G124" s="73">
        <f t="shared" si="6"/>
        <v>0</v>
      </c>
      <c r="H124" s="74">
        <f t="shared" si="7"/>
        <v>0</v>
      </c>
      <c r="I124" s="75">
        <f t="shared" si="8"/>
        <v>0</v>
      </c>
      <c r="J124" s="76">
        <f t="shared" si="9"/>
        <v>0</v>
      </c>
    </row>
    <row r="125" spans="1:10" ht="21.95" customHeight="1">
      <c r="A125" s="115"/>
      <c r="F125" s="72">
        <f t="shared" si="5"/>
        <v>0</v>
      </c>
      <c r="G125" s="73">
        <f t="shared" si="6"/>
        <v>0</v>
      </c>
      <c r="H125" s="74">
        <f t="shared" si="7"/>
        <v>0</v>
      </c>
      <c r="I125" s="75">
        <f t="shared" si="8"/>
        <v>0</v>
      </c>
      <c r="J125" s="76">
        <f t="shared" si="9"/>
        <v>0</v>
      </c>
    </row>
    <row r="126" spans="1:10" ht="21.95" customHeight="1">
      <c r="A126" s="115"/>
      <c r="F126" s="72">
        <f t="shared" si="5"/>
        <v>0</v>
      </c>
      <c r="G126" s="73">
        <f t="shared" si="6"/>
        <v>0</v>
      </c>
      <c r="H126" s="74">
        <f t="shared" si="7"/>
        <v>0</v>
      </c>
      <c r="I126" s="75">
        <f t="shared" si="8"/>
        <v>0</v>
      </c>
      <c r="J126" s="76">
        <f t="shared" si="9"/>
        <v>0</v>
      </c>
    </row>
    <row r="127" spans="1:10" ht="21.95" customHeight="1">
      <c r="A127" s="115"/>
      <c r="F127" s="72">
        <f t="shared" si="5"/>
        <v>0</v>
      </c>
      <c r="G127" s="73">
        <f t="shared" si="6"/>
        <v>0</v>
      </c>
      <c r="H127" s="74">
        <f t="shared" si="7"/>
        <v>0</v>
      </c>
      <c r="I127" s="75">
        <f t="shared" si="8"/>
        <v>0</v>
      </c>
      <c r="J127" s="76">
        <f t="shared" si="9"/>
        <v>0</v>
      </c>
    </row>
    <row r="128" spans="1:10" ht="21.95" customHeight="1">
      <c r="A128" s="115"/>
      <c r="F128" s="72">
        <f t="shared" si="5"/>
        <v>0</v>
      </c>
      <c r="G128" s="73">
        <f t="shared" si="6"/>
        <v>0</v>
      </c>
      <c r="H128" s="74">
        <f t="shared" si="7"/>
        <v>0</v>
      </c>
      <c r="I128" s="75">
        <f t="shared" si="8"/>
        <v>0</v>
      </c>
      <c r="J128" s="76">
        <f t="shared" si="9"/>
        <v>0</v>
      </c>
    </row>
    <row r="129" spans="1:10" ht="21.95" customHeight="1">
      <c r="A129" s="115"/>
      <c r="F129" s="72">
        <f t="shared" si="5"/>
        <v>0</v>
      </c>
      <c r="G129" s="73">
        <f t="shared" si="6"/>
        <v>0</v>
      </c>
      <c r="H129" s="74">
        <f t="shared" si="7"/>
        <v>0</v>
      </c>
      <c r="I129" s="75">
        <f t="shared" si="8"/>
        <v>0</v>
      </c>
      <c r="J129" s="76">
        <f t="shared" si="9"/>
        <v>0</v>
      </c>
    </row>
    <row r="130" spans="1:10" ht="21.95" customHeight="1">
      <c r="A130" s="115"/>
      <c r="F130" s="72">
        <f t="shared" si="5"/>
        <v>0</v>
      </c>
      <c r="G130" s="73">
        <f t="shared" si="6"/>
        <v>0</v>
      </c>
      <c r="H130" s="74">
        <f t="shared" si="7"/>
        <v>0</v>
      </c>
      <c r="I130" s="75">
        <f t="shared" si="8"/>
        <v>0</v>
      </c>
      <c r="J130" s="76">
        <f t="shared" si="9"/>
        <v>0</v>
      </c>
    </row>
    <row r="131" spans="1:10" ht="21.95" customHeight="1">
      <c r="A131" s="115"/>
      <c r="F131" s="72">
        <f t="shared" ref="F131:F194" si="10">COUNTIF(L131:AA131,2)*15/60+COUNTIF(AF131:AU131,2)*15/60+COUNTIF(AX131:BS131,4)*15/60</f>
        <v>0</v>
      </c>
      <c r="G131" s="73">
        <f t="shared" ref="G131:G194" si="11">COUNTIF(L131:AA131,2)*15/60 + COUNTIF(AF131:AU131,2)*15/60 + COUNTIF(L131:AA131,3)*15/60 + COUNTIF(AF131:AU131,3)*15/60 + COUNTIF(AX131:BS131,4)*15/60</f>
        <v>0</v>
      </c>
      <c r="H131" s="74">
        <f t="shared" ref="H131:H194" si="12">F131-G131</f>
        <v>0</v>
      </c>
      <c r="I131" s="75">
        <f t="shared" ref="I131:I194" si="13">COUNTIF(AX131:BS131,4)*15/60</f>
        <v>0</v>
      </c>
      <c r="J131" s="76">
        <f t="shared" ref="J131:J194" si="14">COUNTIF(L131:AA131,5)*15/60 + COUNTIF(AF131:AU131,5)*15/60</f>
        <v>0</v>
      </c>
    </row>
    <row r="132" spans="1:10" ht="21.95" customHeight="1">
      <c r="A132" s="115"/>
      <c r="F132" s="72">
        <f t="shared" si="10"/>
        <v>0</v>
      </c>
      <c r="G132" s="73">
        <f t="shared" si="11"/>
        <v>0</v>
      </c>
      <c r="H132" s="74">
        <f t="shared" si="12"/>
        <v>0</v>
      </c>
      <c r="I132" s="75">
        <f t="shared" si="13"/>
        <v>0</v>
      </c>
      <c r="J132" s="76">
        <f t="shared" si="14"/>
        <v>0</v>
      </c>
    </row>
    <row r="133" spans="1:10" ht="21.95" customHeight="1">
      <c r="A133" s="115"/>
      <c r="F133" s="72">
        <f t="shared" si="10"/>
        <v>0</v>
      </c>
      <c r="G133" s="73">
        <f t="shared" si="11"/>
        <v>0</v>
      </c>
      <c r="H133" s="74">
        <f t="shared" si="12"/>
        <v>0</v>
      </c>
      <c r="I133" s="75">
        <f t="shared" si="13"/>
        <v>0</v>
      </c>
      <c r="J133" s="76">
        <f t="shared" si="14"/>
        <v>0</v>
      </c>
    </row>
    <row r="134" spans="1:10" ht="21.95" customHeight="1">
      <c r="A134" s="115"/>
      <c r="F134" s="72">
        <f t="shared" si="10"/>
        <v>0</v>
      </c>
      <c r="G134" s="73">
        <f t="shared" si="11"/>
        <v>0</v>
      </c>
      <c r="H134" s="74">
        <f t="shared" si="12"/>
        <v>0</v>
      </c>
      <c r="I134" s="75">
        <f t="shared" si="13"/>
        <v>0</v>
      </c>
      <c r="J134" s="76">
        <f t="shared" si="14"/>
        <v>0</v>
      </c>
    </row>
    <row r="135" spans="1:10" ht="21.95" customHeight="1">
      <c r="A135" s="115"/>
      <c r="F135" s="72">
        <f t="shared" si="10"/>
        <v>0</v>
      </c>
      <c r="G135" s="73">
        <f t="shared" si="11"/>
        <v>0</v>
      </c>
      <c r="H135" s="74">
        <f t="shared" si="12"/>
        <v>0</v>
      </c>
      <c r="I135" s="75">
        <f t="shared" si="13"/>
        <v>0</v>
      </c>
      <c r="J135" s="76">
        <f t="shared" si="14"/>
        <v>0</v>
      </c>
    </row>
    <row r="136" spans="1:10" ht="21.95" customHeight="1">
      <c r="A136" s="115"/>
      <c r="F136" s="72">
        <f t="shared" si="10"/>
        <v>0</v>
      </c>
      <c r="G136" s="73">
        <f t="shared" si="11"/>
        <v>0</v>
      </c>
      <c r="H136" s="74">
        <f t="shared" si="12"/>
        <v>0</v>
      </c>
      <c r="I136" s="75">
        <f t="shared" si="13"/>
        <v>0</v>
      </c>
      <c r="J136" s="76">
        <f t="shared" si="14"/>
        <v>0</v>
      </c>
    </row>
    <row r="137" spans="1:10" ht="21.95" customHeight="1">
      <c r="A137" s="115"/>
      <c r="F137" s="72">
        <f t="shared" si="10"/>
        <v>0</v>
      </c>
      <c r="G137" s="73">
        <f t="shared" si="11"/>
        <v>0</v>
      </c>
      <c r="H137" s="74">
        <f t="shared" si="12"/>
        <v>0</v>
      </c>
      <c r="I137" s="75">
        <f t="shared" si="13"/>
        <v>0</v>
      </c>
      <c r="J137" s="76">
        <f t="shared" si="14"/>
        <v>0</v>
      </c>
    </row>
    <row r="138" spans="1:10" ht="21.95" customHeight="1">
      <c r="A138" s="115"/>
      <c r="F138" s="72">
        <f t="shared" si="10"/>
        <v>0</v>
      </c>
      <c r="G138" s="73">
        <f t="shared" si="11"/>
        <v>0</v>
      </c>
      <c r="H138" s="74">
        <f t="shared" si="12"/>
        <v>0</v>
      </c>
      <c r="I138" s="75">
        <f t="shared" si="13"/>
        <v>0</v>
      </c>
      <c r="J138" s="76">
        <f t="shared" si="14"/>
        <v>0</v>
      </c>
    </row>
    <row r="139" spans="1:10" ht="21.95" customHeight="1">
      <c r="A139" s="115"/>
      <c r="F139" s="72">
        <f t="shared" si="10"/>
        <v>0</v>
      </c>
      <c r="G139" s="73">
        <f t="shared" si="11"/>
        <v>0</v>
      </c>
      <c r="H139" s="74">
        <f t="shared" si="12"/>
        <v>0</v>
      </c>
      <c r="I139" s="75">
        <f t="shared" si="13"/>
        <v>0</v>
      </c>
      <c r="J139" s="76">
        <f t="shared" si="14"/>
        <v>0</v>
      </c>
    </row>
    <row r="140" spans="1:10" ht="21.95" customHeight="1">
      <c r="A140" s="115"/>
      <c r="F140" s="72">
        <f t="shared" si="10"/>
        <v>0</v>
      </c>
      <c r="G140" s="73">
        <f t="shared" si="11"/>
        <v>0</v>
      </c>
      <c r="H140" s="74">
        <f t="shared" si="12"/>
        <v>0</v>
      </c>
      <c r="I140" s="75">
        <f t="shared" si="13"/>
        <v>0</v>
      </c>
      <c r="J140" s="76">
        <f t="shared" si="14"/>
        <v>0</v>
      </c>
    </row>
    <row r="141" spans="1:10" ht="21.95" customHeight="1">
      <c r="A141" s="115"/>
      <c r="F141" s="72">
        <f t="shared" si="10"/>
        <v>0</v>
      </c>
      <c r="G141" s="73">
        <f t="shared" si="11"/>
        <v>0</v>
      </c>
      <c r="H141" s="74">
        <f t="shared" si="12"/>
        <v>0</v>
      </c>
      <c r="I141" s="75">
        <f t="shared" si="13"/>
        <v>0</v>
      </c>
      <c r="J141" s="76">
        <f t="shared" si="14"/>
        <v>0</v>
      </c>
    </row>
    <row r="142" spans="1:10" ht="21.95" customHeight="1">
      <c r="A142" s="115"/>
      <c r="C142" s="119"/>
      <c r="F142" s="72">
        <f t="shared" si="10"/>
        <v>0</v>
      </c>
      <c r="G142" s="73">
        <f t="shared" si="11"/>
        <v>0</v>
      </c>
      <c r="H142" s="74">
        <f t="shared" si="12"/>
        <v>0</v>
      </c>
      <c r="I142" s="75">
        <f t="shared" si="13"/>
        <v>0</v>
      </c>
      <c r="J142" s="76">
        <f t="shared" si="14"/>
        <v>0</v>
      </c>
    </row>
    <row r="143" spans="1:10" ht="21.95" customHeight="1">
      <c r="A143" s="115"/>
      <c r="C143" s="119"/>
      <c r="F143" s="72">
        <f t="shared" si="10"/>
        <v>0</v>
      </c>
      <c r="G143" s="73">
        <f t="shared" si="11"/>
        <v>0</v>
      </c>
      <c r="H143" s="74">
        <f t="shared" si="12"/>
        <v>0</v>
      </c>
      <c r="I143" s="75">
        <f t="shared" si="13"/>
        <v>0</v>
      </c>
      <c r="J143" s="76">
        <f t="shared" si="14"/>
        <v>0</v>
      </c>
    </row>
    <row r="144" spans="1:10" ht="21.95" customHeight="1">
      <c r="A144" s="115"/>
      <c r="C144" s="119"/>
      <c r="F144" s="72">
        <f t="shared" si="10"/>
        <v>0</v>
      </c>
      <c r="G144" s="73">
        <f t="shared" si="11"/>
        <v>0</v>
      </c>
      <c r="H144" s="74">
        <f t="shared" si="12"/>
        <v>0</v>
      </c>
      <c r="I144" s="75">
        <f t="shared" si="13"/>
        <v>0</v>
      </c>
      <c r="J144" s="76">
        <f t="shared" si="14"/>
        <v>0</v>
      </c>
    </row>
    <row r="145" spans="1:10" ht="21.95" customHeight="1">
      <c r="A145" s="115"/>
      <c r="C145" s="119"/>
      <c r="F145" s="72">
        <f t="shared" si="10"/>
        <v>0</v>
      </c>
      <c r="G145" s="73">
        <f t="shared" si="11"/>
        <v>0</v>
      </c>
      <c r="H145" s="74">
        <f t="shared" si="12"/>
        <v>0</v>
      </c>
      <c r="I145" s="75">
        <f t="shared" si="13"/>
        <v>0</v>
      </c>
      <c r="J145" s="76">
        <f t="shared" si="14"/>
        <v>0</v>
      </c>
    </row>
    <row r="146" spans="1:10" ht="21.95" customHeight="1">
      <c r="A146" s="115"/>
      <c r="B146" s="120"/>
      <c r="C146" s="119"/>
      <c r="F146" s="72">
        <f t="shared" si="10"/>
        <v>0</v>
      </c>
      <c r="G146" s="73">
        <f t="shared" si="11"/>
        <v>0</v>
      </c>
      <c r="H146" s="74">
        <f t="shared" si="12"/>
        <v>0</v>
      </c>
      <c r="I146" s="75">
        <f t="shared" si="13"/>
        <v>0</v>
      </c>
      <c r="J146" s="76">
        <f t="shared" si="14"/>
        <v>0</v>
      </c>
    </row>
    <row r="147" spans="1:10" ht="21.95" customHeight="1">
      <c r="A147" s="115"/>
      <c r="B147" s="120"/>
      <c r="C147" s="119"/>
      <c r="F147" s="72">
        <f t="shared" si="10"/>
        <v>0</v>
      </c>
      <c r="G147" s="73">
        <f t="shared" si="11"/>
        <v>0</v>
      </c>
      <c r="H147" s="74">
        <f t="shared" si="12"/>
        <v>0</v>
      </c>
      <c r="I147" s="75">
        <f t="shared" si="13"/>
        <v>0</v>
      </c>
      <c r="J147" s="76">
        <f t="shared" si="14"/>
        <v>0</v>
      </c>
    </row>
    <row r="148" spans="1:10" ht="21.95" customHeight="1">
      <c r="A148" s="115"/>
      <c r="B148" s="120"/>
      <c r="C148" s="119"/>
      <c r="F148" s="72">
        <f t="shared" si="10"/>
        <v>0</v>
      </c>
      <c r="G148" s="73">
        <f t="shared" si="11"/>
        <v>0</v>
      </c>
      <c r="H148" s="74">
        <f t="shared" si="12"/>
        <v>0</v>
      </c>
      <c r="I148" s="75">
        <f t="shared" si="13"/>
        <v>0</v>
      </c>
      <c r="J148" s="76">
        <f t="shared" si="14"/>
        <v>0</v>
      </c>
    </row>
    <row r="149" spans="1:10" ht="21.95" customHeight="1">
      <c r="A149" s="115"/>
      <c r="B149" s="121"/>
      <c r="C149" s="119"/>
      <c r="F149" s="72">
        <f t="shared" si="10"/>
        <v>0</v>
      </c>
      <c r="G149" s="73">
        <f t="shared" si="11"/>
        <v>0</v>
      </c>
      <c r="H149" s="74">
        <f t="shared" si="12"/>
        <v>0</v>
      </c>
      <c r="I149" s="75">
        <f t="shared" si="13"/>
        <v>0</v>
      </c>
      <c r="J149" s="76">
        <f t="shared" si="14"/>
        <v>0</v>
      </c>
    </row>
    <row r="150" spans="1:10" ht="21.95" customHeight="1">
      <c r="A150" s="115"/>
      <c r="B150" s="121"/>
      <c r="C150" s="119"/>
      <c r="F150" s="72">
        <f t="shared" si="10"/>
        <v>0</v>
      </c>
      <c r="G150" s="73">
        <f t="shared" si="11"/>
        <v>0</v>
      </c>
      <c r="H150" s="74">
        <f t="shared" si="12"/>
        <v>0</v>
      </c>
      <c r="I150" s="75">
        <f t="shared" si="13"/>
        <v>0</v>
      </c>
      <c r="J150" s="76">
        <f t="shared" si="14"/>
        <v>0</v>
      </c>
    </row>
    <row r="151" spans="1:10" ht="21.95" customHeight="1">
      <c r="A151" s="115"/>
      <c r="B151" s="120"/>
      <c r="C151" s="119"/>
      <c r="F151" s="72">
        <f t="shared" si="10"/>
        <v>0</v>
      </c>
      <c r="G151" s="73">
        <f t="shared" si="11"/>
        <v>0</v>
      </c>
      <c r="H151" s="74">
        <f t="shared" si="12"/>
        <v>0</v>
      </c>
      <c r="I151" s="75">
        <f t="shared" si="13"/>
        <v>0</v>
      </c>
      <c r="J151" s="76">
        <f t="shared" si="14"/>
        <v>0</v>
      </c>
    </row>
    <row r="152" spans="1:10" ht="21.95" customHeight="1">
      <c r="A152" s="115"/>
      <c r="B152" s="120"/>
      <c r="C152" s="119"/>
      <c r="F152" s="72">
        <f t="shared" si="10"/>
        <v>0</v>
      </c>
      <c r="G152" s="73">
        <f t="shared" si="11"/>
        <v>0</v>
      </c>
      <c r="H152" s="74">
        <f t="shared" si="12"/>
        <v>0</v>
      </c>
      <c r="I152" s="75">
        <f t="shared" si="13"/>
        <v>0</v>
      </c>
      <c r="J152" s="76">
        <f t="shared" si="14"/>
        <v>0</v>
      </c>
    </row>
    <row r="153" spans="1:10" ht="21.95" customHeight="1">
      <c r="A153" s="115"/>
      <c r="B153" s="120"/>
      <c r="C153" s="119"/>
      <c r="F153" s="72">
        <f t="shared" si="10"/>
        <v>0</v>
      </c>
      <c r="G153" s="73">
        <f t="shared" si="11"/>
        <v>0</v>
      </c>
      <c r="H153" s="74">
        <f t="shared" si="12"/>
        <v>0</v>
      </c>
      <c r="I153" s="75">
        <f t="shared" si="13"/>
        <v>0</v>
      </c>
      <c r="J153" s="76">
        <f t="shared" si="14"/>
        <v>0</v>
      </c>
    </row>
    <row r="154" spans="1:10" ht="21.95" customHeight="1">
      <c r="A154" s="115"/>
      <c r="B154" s="121"/>
      <c r="C154" s="119"/>
      <c r="F154" s="72">
        <f t="shared" si="10"/>
        <v>0</v>
      </c>
      <c r="G154" s="73">
        <f t="shared" si="11"/>
        <v>0</v>
      </c>
      <c r="H154" s="74">
        <f t="shared" si="12"/>
        <v>0</v>
      </c>
      <c r="I154" s="75">
        <f t="shared" si="13"/>
        <v>0</v>
      </c>
      <c r="J154" s="76">
        <f t="shared" si="14"/>
        <v>0</v>
      </c>
    </row>
    <row r="155" spans="1:10" ht="21.95" customHeight="1">
      <c r="A155" s="115"/>
      <c r="B155" s="121"/>
      <c r="C155" s="119"/>
      <c r="F155" s="72">
        <f t="shared" si="10"/>
        <v>0</v>
      </c>
      <c r="G155" s="73">
        <f t="shared" si="11"/>
        <v>0</v>
      </c>
      <c r="H155" s="74">
        <f t="shared" si="12"/>
        <v>0</v>
      </c>
      <c r="I155" s="75">
        <f t="shared" si="13"/>
        <v>0</v>
      </c>
      <c r="J155" s="76">
        <f t="shared" si="14"/>
        <v>0</v>
      </c>
    </row>
    <row r="156" spans="1:10" ht="21.95" customHeight="1">
      <c r="A156" s="115"/>
      <c r="B156" s="121"/>
      <c r="C156" s="119"/>
      <c r="F156" s="72">
        <f t="shared" si="10"/>
        <v>0</v>
      </c>
      <c r="G156" s="73">
        <f t="shared" si="11"/>
        <v>0</v>
      </c>
      <c r="H156" s="74">
        <f t="shared" si="12"/>
        <v>0</v>
      </c>
      <c r="I156" s="75">
        <f t="shared" si="13"/>
        <v>0</v>
      </c>
      <c r="J156" s="76">
        <f t="shared" si="14"/>
        <v>0</v>
      </c>
    </row>
    <row r="157" spans="1:10" ht="21.95" customHeight="1">
      <c r="A157" s="115"/>
      <c r="B157" s="121"/>
      <c r="C157" s="119"/>
      <c r="F157" s="72">
        <f t="shared" si="10"/>
        <v>0</v>
      </c>
      <c r="G157" s="73">
        <f t="shared" si="11"/>
        <v>0</v>
      </c>
      <c r="H157" s="74">
        <f t="shared" si="12"/>
        <v>0</v>
      </c>
      <c r="I157" s="75">
        <f t="shared" si="13"/>
        <v>0</v>
      </c>
      <c r="J157" s="76">
        <f t="shared" si="14"/>
        <v>0</v>
      </c>
    </row>
    <row r="158" spans="1:10" ht="21.95" customHeight="1">
      <c r="A158" s="115"/>
      <c r="B158" s="121"/>
      <c r="C158" s="119"/>
      <c r="F158" s="72">
        <f t="shared" si="10"/>
        <v>0</v>
      </c>
      <c r="G158" s="73">
        <f t="shared" si="11"/>
        <v>0</v>
      </c>
      <c r="H158" s="74">
        <f t="shared" si="12"/>
        <v>0</v>
      </c>
      <c r="I158" s="75">
        <f t="shared" si="13"/>
        <v>0</v>
      </c>
      <c r="J158" s="76">
        <f t="shared" si="14"/>
        <v>0</v>
      </c>
    </row>
    <row r="159" spans="1:10" ht="21.95" customHeight="1">
      <c r="A159" s="115"/>
      <c r="B159" s="121"/>
      <c r="C159" s="119"/>
      <c r="F159" s="72">
        <f t="shared" si="10"/>
        <v>0</v>
      </c>
      <c r="G159" s="73">
        <f t="shared" si="11"/>
        <v>0</v>
      </c>
      <c r="H159" s="74">
        <f t="shared" si="12"/>
        <v>0</v>
      </c>
      <c r="I159" s="75">
        <f t="shared" si="13"/>
        <v>0</v>
      </c>
      <c r="J159" s="76">
        <f t="shared" si="14"/>
        <v>0</v>
      </c>
    </row>
    <row r="160" spans="1:10" ht="21.95" customHeight="1">
      <c r="A160" s="115"/>
      <c r="B160" s="120"/>
      <c r="C160" s="119"/>
      <c r="F160" s="72">
        <f t="shared" si="10"/>
        <v>0</v>
      </c>
      <c r="G160" s="73">
        <f t="shared" si="11"/>
        <v>0</v>
      </c>
      <c r="H160" s="74">
        <f t="shared" si="12"/>
        <v>0</v>
      </c>
      <c r="I160" s="75">
        <f t="shared" si="13"/>
        <v>0</v>
      </c>
      <c r="J160" s="76">
        <f t="shared" si="14"/>
        <v>0</v>
      </c>
    </row>
    <row r="161" spans="1:10" ht="21.95" customHeight="1">
      <c r="A161" s="115"/>
      <c r="C161" s="119"/>
      <c r="F161" s="72">
        <f t="shared" si="10"/>
        <v>0</v>
      </c>
      <c r="G161" s="73">
        <f t="shared" si="11"/>
        <v>0</v>
      </c>
      <c r="H161" s="74">
        <f t="shared" si="12"/>
        <v>0</v>
      </c>
      <c r="I161" s="75">
        <f t="shared" si="13"/>
        <v>0</v>
      </c>
      <c r="J161" s="76">
        <f t="shared" si="14"/>
        <v>0</v>
      </c>
    </row>
    <row r="162" spans="1:10" ht="21.95" customHeight="1">
      <c r="A162" s="115"/>
      <c r="C162" s="119"/>
      <c r="F162" s="72">
        <f t="shared" si="10"/>
        <v>0</v>
      </c>
      <c r="G162" s="73">
        <f t="shared" si="11"/>
        <v>0</v>
      </c>
      <c r="H162" s="74">
        <f t="shared" si="12"/>
        <v>0</v>
      </c>
      <c r="I162" s="75">
        <f t="shared" si="13"/>
        <v>0</v>
      </c>
      <c r="J162" s="76">
        <f t="shared" si="14"/>
        <v>0</v>
      </c>
    </row>
    <row r="163" spans="1:10" ht="21.95" customHeight="1">
      <c r="A163" s="115"/>
      <c r="C163" s="119"/>
      <c r="F163" s="72">
        <f t="shared" si="10"/>
        <v>0</v>
      </c>
      <c r="G163" s="73">
        <f t="shared" si="11"/>
        <v>0</v>
      </c>
      <c r="H163" s="74">
        <f t="shared" si="12"/>
        <v>0</v>
      </c>
      <c r="I163" s="75">
        <f t="shared" si="13"/>
        <v>0</v>
      </c>
      <c r="J163" s="76">
        <f t="shared" si="14"/>
        <v>0</v>
      </c>
    </row>
    <row r="164" spans="1:10" ht="21.95" customHeight="1">
      <c r="A164" s="115"/>
      <c r="C164" s="119"/>
      <c r="F164" s="72">
        <f t="shared" si="10"/>
        <v>0</v>
      </c>
      <c r="G164" s="73">
        <f t="shared" si="11"/>
        <v>0</v>
      </c>
      <c r="H164" s="74">
        <f t="shared" si="12"/>
        <v>0</v>
      </c>
      <c r="I164" s="75">
        <f t="shared" si="13"/>
        <v>0</v>
      </c>
      <c r="J164" s="76">
        <f t="shared" si="14"/>
        <v>0</v>
      </c>
    </row>
    <row r="165" spans="1:10" ht="21.95" customHeight="1">
      <c r="A165" s="115"/>
      <c r="C165" s="119"/>
      <c r="F165" s="72">
        <f t="shared" si="10"/>
        <v>0</v>
      </c>
      <c r="G165" s="73">
        <f t="shared" si="11"/>
        <v>0</v>
      </c>
      <c r="H165" s="74">
        <f t="shared" si="12"/>
        <v>0</v>
      </c>
      <c r="I165" s="75">
        <f t="shared" si="13"/>
        <v>0</v>
      </c>
      <c r="J165" s="76">
        <f t="shared" si="14"/>
        <v>0</v>
      </c>
    </row>
    <row r="166" spans="1:10" ht="21.95" customHeight="1">
      <c r="A166" s="115"/>
      <c r="C166" s="119"/>
      <c r="F166" s="72">
        <f t="shared" si="10"/>
        <v>0</v>
      </c>
      <c r="G166" s="73">
        <f t="shared" si="11"/>
        <v>0</v>
      </c>
      <c r="H166" s="74">
        <f t="shared" si="12"/>
        <v>0</v>
      </c>
      <c r="I166" s="75">
        <f t="shared" si="13"/>
        <v>0</v>
      </c>
      <c r="J166" s="76">
        <f t="shared" si="14"/>
        <v>0</v>
      </c>
    </row>
    <row r="167" spans="1:10" ht="21.95" customHeight="1">
      <c r="A167" s="115"/>
      <c r="C167" s="119"/>
      <c r="F167" s="72">
        <f t="shared" si="10"/>
        <v>0</v>
      </c>
      <c r="G167" s="73">
        <f t="shared" si="11"/>
        <v>0</v>
      </c>
      <c r="H167" s="74">
        <f t="shared" si="12"/>
        <v>0</v>
      </c>
      <c r="I167" s="75">
        <f t="shared" si="13"/>
        <v>0</v>
      </c>
      <c r="J167" s="76">
        <f t="shared" si="14"/>
        <v>0</v>
      </c>
    </row>
    <row r="168" spans="1:10" ht="21.95" customHeight="1">
      <c r="A168" s="115"/>
      <c r="C168" s="119"/>
      <c r="F168" s="72">
        <f t="shared" si="10"/>
        <v>0</v>
      </c>
      <c r="G168" s="73">
        <f t="shared" si="11"/>
        <v>0</v>
      </c>
      <c r="H168" s="74">
        <f t="shared" si="12"/>
        <v>0</v>
      </c>
      <c r="I168" s="75">
        <f t="shared" si="13"/>
        <v>0</v>
      </c>
      <c r="J168" s="76">
        <f t="shared" si="14"/>
        <v>0</v>
      </c>
    </row>
    <row r="169" spans="1:10" ht="21.95" customHeight="1">
      <c r="A169" s="115"/>
      <c r="C169" s="119"/>
      <c r="F169" s="72">
        <f t="shared" si="10"/>
        <v>0</v>
      </c>
      <c r="G169" s="73">
        <f t="shared" si="11"/>
        <v>0</v>
      </c>
      <c r="H169" s="74">
        <f t="shared" si="12"/>
        <v>0</v>
      </c>
      <c r="I169" s="75">
        <f t="shared" si="13"/>
        <v>0</v>
      </c>
      <c r="J169" s="76">
        <f t="shared" si="14"/>
        <v>0</v>
      </c>
    </row>
    <row r="170" spans="1:10" ht="21.95" customHeight="1">
      <c r="A170" s="115"/>
      <c r="C170" s="119"/>
      <c r="F170" s="72">
        <f t="shared" si="10"/>
        <v>0</v>
      </c>
      <c r="G170" s="73">
        <f t="shared" si="11"/>
        <v>0</v>
      </c>
      <c r="H170" s="74">
        <f t="shared" si="12"/>
        <v>0</v>
      </c>
      <c r="I170" s="75">
        <f t="shared" si="13"/>
        <v>0</v>
      </c>
      <c r="J170" s="76">
        <f t="shared" si="14"/>
        <v>0</v>
      </c>
    </row>
    <row r="171" spans="1:10" ht="21.95" customHeight="1">
      <c r="A171" s="115"/>
      <c r="C171" s="119"/>
      <c r="F171" s="72">
        <f t="shared" si="10"/>
        <v>0</v>
      </c>
      <c r="G171" s="73">
        <f t="shared" si="11"/>
        <v>0</v>
      </c>
      <c r="H171" s="74">
        <f t="shared" si="12"/>
        <v>0</v>
      </c>
      <c r="I171" s="75">
        <f t="shared" si="13"/>
        <v>0</v>
      </c>
      <c r="J171" s="76">
        <f t="shared" si="14"/>
        <v>0</v>
      </c>
    </row>
    <row r="172" spans="1:10" ht="21.95" customHeight="1">
      <c r="A172" s="115"/>
      <c r="C172" s="119"/>
      <c r="F172" s="72">
        <f t="shared" si="10"/>
        <v>0</v>
      </c>
      <c r="G172" s="73">
        <f t="shared" si="11"/>
        <v>0</v>
      </c>
      <c r="H172" s="74">
        <f t="shared" si="12"/>
        <v>0</v>
      </c>
      <c r="I172" s="75">
        <f t="shared" si="13"/>
        <v>0</v>
      </c>
      <c r="J172" s="76">
        <f t="shared" si="14"/>
        <v>0</v>
      </c>
    </row>
    <row r="173" spans="1:10" ht="21.95" customHeight="1">
      <c r="A173" s="115"/>
      <c r="C173" s="119"/>
      <c r="F173" s="72">
        <f t="shared" si="10"/>
        <v>0</v>
      </c>
      <c r="G173" s="73">
        <f t="shared" si="11"/>
        <v>0</v>
      </c>
      <c r="H173" s="74">
        <f t="shared" si="12"/>
        <v>0</v>
      </c>
      <c r="I173" s="75">
        <f t="shared" si="13"/>
        <v>0</v>
      </c>
      <c r="J173" s="76">
        <f t="shared" si="14"/>
        <v>0</v>
      </c>
    </row>
    <row r="174" spans="1:10" ht="21.95" customHeight="1">
      <c r="A174" s="115"/>
      <c r="C174" s="119"/>
      <c r="F174" s="72">
        <f t="shared" si="10"/>
        <v>0</v>
      </c>
      <c r="G174" s="73">
        <f t="shared" si="11"/>
        <v>0</v>
      </c>
      <c r="H174" s="74">
        <f t="shared" si="12"/>
        <v>0</v>
      </c>
      <c r="I174" s="75">
        <f t="shared" si="13"/>
        <v>0</v>
      </c>
      <c r="J174" s="76">
        <f t="shared" si="14"/>
        <v>0</v>
      </c>
    </row>
    <row r="175" spans="1:10" ht="21.95" customHeight="1">
      <c r="A175" s="115"/>
      <c r="F175" s="72">
        <f t="shared" si="10"/>
        <v>0</v>
      </c>
      <c r="G175" s="73">
        <f t="shared" si="11"/>
        <v>0</v>
      </c>
      <c r="H175" s="74">
        <f t="shared" si="12"/>
        <v>0</v>
      </c>
      <c r="I175" s="75">
        <f t="shared" si="13"/>
        <v>0</v>
      </c>
      <c r="J175" s="76">
        <f t="shared" si="14"/>
        <v>0</v>
      </c>
    </row>
    <row r="176" spans="1:10" ht="21.95" customHeight="1">
      <c r="A176" s="115"/>
      <c r="F176" s="72">
        <f t="shared" si="10"/>
        <v>0</v>
      </c>
      <c r="G176" s="73">
        <f t="shared" si="11"/>
        <v>0</v>
      </c>
      <c r="H176" s="74">
        <f t="shared" si="12"/>
        <v>0</v>
      </c>
      <c r="I176" s="75">
        <f t="shared" si="13"/>
        <v>0</v>
      </c>
      <c r="J176" s="76">
        <f t="shared" si="14"/>
        <v>0</v>
      </c>
    </row>
    <row r="177" spans="1:10" ht="21.95" customHeight="1">
      <c r="A177" s="115"/>
      <c r="F177" s="72">
        <f t="shared" si="10"/>
        <v>0</v>
      </c>
      <c r="G177" s="73">
        <f t="shared" si="11"/>
        <v>0</v>
      </c>
      <c r="H177" s="74">
        <f t="shared" si="12"/>
        <v>0</v>
      </c>
      <c r="I177" s="75">
        <f t="shared" si="13"/>
        <v>0</v>
      </c>
      <c r="J177" s="76">
        <f t="shared" si="14"/>
        <v>0</v>
      </c>
    </row>
    <row r="178" spans="1:10" ht="21.95" customHeight="1">
      <c r="A178" s="115"/>
      <c r="F178" s="72">
        <f t="shared" si="10"/>
        <v>0</v>
      </c>
      <c r="G178" s="73">
        <f t="shared" si="11"/>
        <v>0</v>
      </c>
      <c r="H178" s="74">
        <f t="shared" si="12"/>
        <v>0</v>
      </c>
      <c r="I178" s="75">
        <f t="shared" si="13"/>
        <v>0</v>
      </c>
      <c r="J178" s="76">
        <f t="shared" si="14"/>
        <v>0</v>
      </c>
    </row>
    <row r="179" spans="1:10" ht="21.95" customHeight="1">
      <c r="A179" s="115"/>
      <c r="F179" s="72">
        <f t="shared" si="10"/>
        <v>0</v>
      </c>
      <c r="G179" s="73">
        <f t="shared" si="11"/>
        <v>0</v>
      </c>
      <c r="H179" s="74">
        <f t="shared" si="12"/>
        <v>0</v>
      </c>
      <c r="I179" s="75">
        <f t="shared" si="13"/>
        <v>0</v>
      </c>
      <c r="J179" s="76">
        <f t="shared" si="14"/>
        <v>0</v>
      </c>
    </row>
    <row r="180" spans="1:10" ht="21.95" customHeight="1">
      <c r="A180" s="115"/>
      <c r="F180" s="72">
        <f t="shared" si="10"/>
        <v>0</v>
      </c>
      <c r="G180" s="73">
        <f t="shared" si="11"/>
        <v>0</v>
      </c>
      <c r="H180" s="74">
        <f t="shared" si="12"/>
        <v>0</v>
      </c>
      <c r="I180" s="75">
        <f t="shared" si="13"/>
        <v>0</v>
      </c>
      <c r="J180" s="76">
        <f t="shared" si="14"/>
        <v>0</v>
      </c>
    </row>
    <row r="181" spans="1:10" ht="21.95" customHeight="1">
      <c r="A181" s="115"/>
      <c r="F181" s="72">
        <f t="shared" si="10"/>
        <v>0</v>
      </c>
      <c r="G181" s="73">
        <f t="shared" si="11"/>
        <v>0</v>
      </c>
      <c r="H181" s="74">
        <f t="shared" si="12"/>
        <v>0</v>
      </c>
      <c r="I181" s="75">
        <f t="shared" si="13"/>
        <v>0</v>
      </c>
      <c r="J181" s="76">
        <f t="shared" si="14"/>
        <v>0</v>
      </c>
    </row>
    <row r="182" spans="1:10" ht="21.95" customHeight="1">
      <c r="A182" s="115"/>
      <c r="F182" s="72">
        <f t="shared" si="10"/>
        <v>0</v>
      </c>
      <c r="G182" s="73">
        <f t="shared" si="11"/>
        <v>0</v>
      </c>
      <c r="H182" s="74">
        <f t="shared" si="12"/>
        <v>0</v>
      </c>
      <c r="I182" s="75">
        <f t="shared" si="13"/>
        <v>0</v>
      </c>
      <c r="J182" s="76">
        <f t="shared" si="14"/>
        <v>0</v>
      </c>
    </row>
    <row r="183" spans="1:10" ht="21.95" customHeight="1">
      <c r="A183" s="115"/>
      <c r="F183" s="72">
        <f t="shared" si="10"/>
        <v>0</v>
      </c>
      <c r="G183" s="73">
        <f t="shared" si="11"/>
        <v>0</v>
      </c>
      <c r="H183" s="74">
        <f t="shared" si="12"/>
        <v>0</v>
      </c>
      <c r="I183" s="75">
        <f t="shared" si="13"/>
        <v>0</v>
      </c>
      <c r="J183" s="76">
        <f t="shared" si="14"/>
        <v>0</v>
      </c>
    </row>
    <row r="184" spans="1:10" ht="21.95" customHeight="1">
      <c r="A184" s="115"/>
      <c r="F184" s="72">
        <f t="shared" si="10"/>
        <v>0</v>
      </c>
      <c r="G184" s="73">
        <f t="shared" si="11"/>
        <v>0</v>
      </c>
      <c r="H184" s="74">
        <f t="shared" si="12"/>
        <v>0</v>
      </c>
      <c r="I184" s="75">
        <f t="shared" si="13"/>
        <v>0</v>
      </c>
      <c r="J184" s="76">
        <f t="shared" si="14"/>
        <v>0</v>
      </c>
    </row>
    <row r="185" spans="1:10" ht="21.95" customHeight="1">
      <c r="A185" s="115"/>
      <c r="F185" s="72">
        <f t="shared" si="10"/>
        <v>0</v>
      </c>
      <c r="G185" s="73">
        <f t="shared" si="11"/>
        <v>0</v>
      </c>
      <c r="H185" s="74">
        <f t="shared" si="12"/>
        <v>0</v>
      </c>
      <c r="I185" s="75">
        <f t="shared" si="13"/>
        <v>0</v>
      </c>
      <c r="J185" s="76">
        <f t="shared" si="14"/>
        <v>0</v>
      </c>
    </row>
    <row r="186" spans="1:10" ht="21.95" customHeight="1">
      <c r="A186" s="115"/>
      <c r="F186" s="72">
        <f t="shared" si="10"/>
        <v>0</v>
      </c>
      <c r="G186" s="73">
        <f t="shared" si="11"/>
        <v>0</v>
      </c>
      <c r="H186" s="74">
        <f t="shared" si="12"/>
        <v>0</v>
      </c>
      <c r="I186" s="75">
        <f t="shared" si="13"/>
        <v>0</v>
      </c>
      <c r="J186" s="76">
        <f t="shared" si="14"/>
        <v>0</v>
      </c>
    </row>
    <row r="187" spans="1:10" ht="21.95" customHeight="1">
      <c r="A187" s="115"/>
      <c r="F187" s="72">
        <f t="shared" si="10"/>
        <v>0</v>
      </c>
      <c r="G187" s="73">
        <f t="shared" si="11"/>
        <v>0</v>
      </c>
      <c r="H187" s="74">
        <f t="shared" si="12"/>
        <v>0</v>
      </c>
      <c r="I187" s="75">
        <f t="shared" si="13"/>
        <v>0</v>
      </c>
      <c r="J187" s="76">
        <f t="shared" si="14"/>
        <v>0</v>
      </c>
    </row>
    <row r="188" spans="1:10" ht="21.95" customHeight="1">
      <c r="A188" s="115"/>
      <c r="F188" s="72">
        <f t="shared" si="10"/>
        <v>0</v>
      </c>
      <c r="G188" s="73">
        <f t="shared" si="11"/>
        <v>0</v>
      </c>
      <c r="H188" s="74">
        <f t="shared" si="12"/>
        <v>0</v>
      </c>
      <c r="I188" s="75">
        <f t="shared" si="13"/>
        <v>0</v>
      </c>
      <c r="J188" s="76">
        <f t="shared" si="14"/>
        <v>0</v>
      </c>
    </row>
    <row r="189" spans="1:10" ht="21.95" customHeight="1">
      <c r="A189" s="115"/>
      <c r="F189" s="72">
        <f t="shared" si="10"/>
        <v>0</v>
      </c>
      <c r="G189" s="73">
        <f t="shared" si="11"/>
        <v>0</v>
      </c>
      <c r="H189" s="74">
        <f t="shared" si="12"/>
        <v>0</v>
      </c>
      <c r="I189" s="75">
        <f t="shared" si="13"/>
        <v>0</v>
      </c>
      <c r="J189" s="76">
        <f t="shared" si="14"/>
        <v>0</v>
      </c>
    </row>
    <row r="190" spans="1:10" ht="21.95" customHeight="1">
      <c r="F190" s="72">
        <f t="shared" si="10"/>
        <v>0</v>
      </c>
      <c r="G190" s="73">
        <f t="shared" si="11"/>
        <v>0</v>
      </c>
      <c r="H190" s="74">
        <f t="shared" si="12"/>
        <v>0</v>
      </c>
      <c r="I190" s="75">
        <f t="shared" si="13"/>
        <v>0</v>
      </c>
      <c r="J190" s="76">
        <f t="shared" si="14"/>
        <v>0</v>
      </c>
    </row>
    <row r="191" spans="1:10" ht="21.95" customHeight="1">
      <c r="F191" s="72">
        <f t="shared" si="10"/>
        <v>0</v>
      </c>
      <c r="G191" s="73">
        <f t="shared" si="11"/>
        <v>0</v>
      </c>
      <c r="H191" s="74">
        <f t="shared" si="12"/>
        <v>0</v>
      </c>
      <c r="I191" s="75">
        <f t="shared" si="13"/>
        <v>0</v>
      </c>
      <c r="J191" s="76">
        <f t="shared" si="14"/>
        <v>0</v>
      </c>
    </row>
    <row r="192" spans="1:10" ht="21.95" customHeight="1">
      <c r="F192" s="72">
        <f t="shared" si="10"/>
        <v>0</v>
      </c>
      <c r="G192" s="73">
        <f t="shared" si="11"/>
        <v>0</v>
      </c>
      <c r="H192" s="74">
        <f t="shared" si="12"/>
        <v>0</v>
      </c>
      <c r="I192" s="75">
        <f t="shared" si="13"/>
        <v>0</v>
      </c>
      <c r="J192" s="76">
        <f t="shared" si="14"/>
        <v>0</v>
      </c>
    </row>
    <row r="193" spans="6:10" ht="21.95" customHeight="1">
      <c r="F193" s="72">
        <f t="shared" si="10"/>
        <v>0</v>
      </c>
      <c r="G193" s="73">
        <f t="shared" si="11"/>
        <v>0</v>
      </c>
      <c r="H193" s="74">
        <f t="shared" si="12"/>
        <v>0</v>
      </c>
      <c r="I193" s="75">
        <f t="shared" si="13"/>
        <v>0</v>
      </c>
      <c r="J193" s="76">
        <f t="shared" si="14"/>
        <v>0</v>
      </c>
    </row>
    <row r="194" spans="6:10" ht="22.5" customHeight="1">
      <c r="F194" s="72">
        <f t="shared" si="10"/>
        <v>0</v>
      </c>
      <c r="G194" s="73">
        <f t="shared" si="11"/>
        <v>0</v>
      </c>
      <c r="H194" s="74">
        <f t="shared" si="12"/>
        <v>0</v>
      </c>
      <c r="I194" s="75">
        <f t="shared" si="13"/>
        <v>0</v>
      </c>
      <c r="J194" s="76">
        <f t="shared" si="14"/>
        <v>0</v>
      </c>
    </row>
    <row r="195" spans="6:10" ht="21.95" customHeight="1">
      <c r="F195" s="72">
        <f t="shared" ref="F195:F258" si="15">COUNTIF(L195:AA195,2)*15/60+COUNTIF(AF195:AU195,2)*15/60+COUNTIF(AX195:BS195,4)*15/60</f>
        <v>0</v>
      </c>
      <c r="G195" s="73">
        <f t="shared" ref="G195:G258" si="16">COUNTIF(L195:AA195,2)*15/60 + COUNTIF(AF195:AU195,2)*15/60 + COUNTIF(L195:AA195,3)*15/60 + COUNTIF(AF195:AU195,3)*15/60 + COUNTIF(AX195:BS195,4)*15/60</f>
        <v>0</v>
      </c>
      <c r="H195" s="74">
        <f t="shared" ref="H195:H258" si="17">F195-G195</f>
        <v>0</v>
      </c>
      <c r="I195" s="75">
        <f t="shared" ref="I195:I258" si="18">COUNTIF(AX195:BS195,4)*15/60</f>
        <v>0</v>
      </c>
      <c r="J195" s="76">
        <f t="shared" ref="J195:J258" si="19">COUNTIF(L195:AA195,5)*15/60 + COUNTIF(AF195:AU195,5)*15/60</f>
        <v>0</v>
      </c>
    </row>
    <row r="196" spans="6:10" ht="21.95" customHeight="1">
      <c r="F196" s="72">
        <f t="shared" si="15"/>
        <v>0</v>
      </c>
      <c r="G196" s="73">
        <f t="shared" si="16"/>
        <v>0</v>
      </c>
      <c r="H196" s="74">
        <f t="shared" si="17"/>
        <v>0</v>
      </c>
      <c r="I196" s="75">
        <f t="shared" si="18"/>
        <v>0</v>
      </c>
      <c r="J196" s="76">
        <f t="shared" si="19"/>
        <v>0</v>
      </c>
    </row>
    <row r="197" spans="6:10" ht="21.95" customHeight="1">
      <c r="F197" s="72">
        <f t="shared" si="15"/>
        <v>0</v>
      </c>
      <c r="G197" s="73">
        <f t="shared" si="16"/>
        <v>0</v>
      </c>
      <c r="H197" s="74">
        <f t="shared" si="17"/>
        <v>0</v>
      </c>
      <c r="I197" s="75">
        <f t="shared" si="18"/>
        <v>0</v>
      </c>
      <c r="J197" s="76">
        <f t="shared" si="19"/>
        <v>0</v>
      </c>
    </row>
    <row r="198" spans="6:10" ht="21.95" customHeight="1">
      <c r="F198" s="72">
        <f t="shared" si="15"/>
        <v>0</v>
      </c>
      <c r="G198" s="73">
        <f t="shared" si="16"/>
        <v>0</v>
      </c>
      <c r="H198" s="74">
        <f t="shared" si="17"/>
        <v>0</v>
      </c>
      <c r="I198" s="75">
        <f t="shared" si="18"/>
        <v>0</v>
      </c>
      <c r="J198" s="76">
        <f t="shared" si="19"/>
        <v>0</v>
      </c>
    </row>
    <row r="199" spans="6:10" ht="21.95" customHeight="1">
      <c r="F199" s="72">
        <f t="shared" si="15"/>
        <v>0</v>
      </c>
      <c r="G199" s="73">
        <f t="shared" si="16"/>
        <v>0</v>
      </c>
      <c r="H199" s="74">
        <f t="shared" si="17"/>
        <v>0</v>
      </c>
      <c r="I199" s="75">
        <f t="shared" si="18"/>
        <v>0</v>
      </c>
      <c r="J199" s="76">
        <f t="shared" si="19"/>
        <v>0</v>
      </c>
    </row>
    <row r="200" spans="6:10" ht="21.95" customHeight="1">
      <c r="F200" s="72">
        <f t="shared" si="15"/>
        <v>0</v>
      </c>
      <c r="G200" s="73">
        <f t="shared" si="16"/>
        <v>0</v>
      </c>
      <c r="H200" s="74">
        <f t="shared" si="17"/>
        <v>0</v>
      </c>
      <c r="I200" s="75">
        <f t="shared" si="18"/>
        <v>0</v>
      </c>
      <c r="J200" s="76">
        <f t="shared" si="19"/>
        <v>0</v>
      </c>
    </row>
    <row r="201" spans="6:10" ht="21.95" customHeight="1">
      <c r="F201" s="72">
        <f t="shared" si="15"/>
        <v>0</v>
      </c>
      <c r="G201" s="73">
        <f t="shared" si="16"/>
        <v>0</v>
      </c>
      <c r="H201" s="74">
        <f t="shared" si="17"/>
        <v>0</v>
      </c>
      <c r="I201" s="75">
        <f t="shared" si="18"/>
        <v>0</v>
      </c>
      <c r="J201" s="76">
        <f t="shared" si="19"/>
        <v>0</v>
      </c>
    </row>
    <row r="202" spans="6:10" ht="21.95" customHeight="1">
      <c r="F202" s="72">
        <f t="shared" si="15"/>
        <v>0</v>
      </c>
      <c r="G202" s="73">
        <f t="shared" si="16"/>
        <v>0</v>
      </c>
      <c r="H202" s="74">
        <f t="shared" si="17"/>
        <v>0</v>
      </c>
      <c r="I202" s="75">
        <f t="shared" si="18"/>
        <v>0</v>
      </c>
      <c r="J202" s="76">
        <f t="shared" si="19"/>
        <v>0</v>
      </c>
    </row>
    <row r="203" spans="6:10" ht="21.95" customHeight="1">
      <c r="F203" s="72">
        <f t="shared" si="15"/>
        <v>0</v>
      </c>
      <c r="G203" s="73">
        <f t="shared" si="16"/>
        <v>0</v>
      </c>
      <c r="H203" s="74">
        <f t="shared" si="17"/>
        <v>0</v>
      </c>
      <c r="I203" s="75">
        <f t="shared" si="18"/>
        <v>0</v>
      </c>
      <c r="J203" s="76">
        <f t="shared" si="19"/>
        <v>0</v>
      </c>
    </row>
    <row r="204" spans="6:10" ht="21.95" customHeight="1">
      <c r="F204" s="72">
        <f t="shared" si="15"/>
        <v>0</v>
      </c>
      <c r="G204" s="73">
        <f t="shared" si="16"/>
        <v>0</v>
      </c>
      <c r="H204" s="74">
        <f t="shared" si="17"/>
        <v>0</v>
      </c>
      <c r="I204" s="75">
        <f t="shared" si="18"/>
        <v>0</v>
      </c>
      <c r="J204" s="76">
        <f t="shared" si="19"/>
        <v>0</v>
      </c>
    </row>
    <row r="205" spans="6:10" ht="21.95" customHeight="1">
      <c r="F205" s="72">
        <f t="shared" si="15"/>
        <v>0</v>
      </c>
      <c r="G205" s="73">
        <f t="shared" si="16"/>
        <v>0</v>
      </c>
      <c r="H205" s="74">
        <f t="shared" si="17"/>
        <v>0</v>
      </c>
      <c r="I205" s="75">
        <f t="shared" si="18"/>
        <v>0</v>
      </c>
      <c r="J205" s="76">
        <f t="shared" si="19"/>
        <v>0</v>
      </c>
    </row>
    <row r="206" spans="6:10" ht="21.95" customHeight="1">
      <c r="F206" s="72">
        <f t="shared" si="15"/>
        <v>0</v>
      </c>
      <c r="G206" s="73">
        <f t="shared" si="16"/>
        <v>0</v>
      </c>
      <c r="H206" s="74">
        <f t="shared" si="17"/>
        <v>0</v>
      </c>
      <c r="I206" s="75">
        <f t="shared" si="18"/>
        <v>0</v>
      </c>
      <c r="J206" s="76">
        <f t="shared" si="19"/>
        <v>0</v>
      </c>
    </row>
    <row r="207" spans="6:10" ht="21.95" customHeight="1">
      <c r="F207" s="72">
        <f t="shared" si="15"/>
        <v>0</v>
      </c>
      <c r="G207" s="73">
        <f t="shared" si="16"/>
        <v>0</v>
      </c>
      <c r="H207" s="74">
        <f t="shared" si="17"/>
        <v>0</v>
      </c>
      <c r="I207" s="75">
        <f t="shared" si="18"/>
        <v>0</v>
      </c>
      <c r="J207" s="76">
        <f t="shared" si="19"/>
        <v>0</v>
      </c>
    </row>
    <row r="208" spans="6:10" ht="21.95" customHeight="1">
      <c r="F208" s="72">
        <f t="shared" si="15"/>
        <v>0</v>
      </c>
      <c r="G208" s="73">
        <f t="shared" si="16"/>
        <v>0</v>
      </c>
      <c r="H208" s="74">
        <f t="shared" si="17"/>
        <v>0</v>
      </c>
      <c r="I208" s="75">
        <f t="shared" si="18"/>
        <v>0</v>
      </c>
      <c r="J208" s="76">
        <f t="shared" si="19"/>
        <v>0</v>
      </c>
    </row>
    <row r="209" spans="6:10" ht="21.95" customHeight="1">
      <c r="F209" s="72">
        <f t="shared" si="15"/>
        <v>0</v>
      </c>
      <c r="G209" s="73">
        <f t="shared" si="16"/>
        <v>0</v>
      </c>
      <c r="H209" s="74">
        <f t="shared" si="17"/>
        <v>0</v>
      </c>
      <c r="I209" s="75">
        <f t="shared" si="18"/>
        <v>0</v>
      </c>
      <c r="J209" s="76">
        <f t="shared" si="19"/>
        <v>0</v>
      </c>
    </row>
    <row r="210" spans="6:10" ht="21.95" customHeight="1">
      <c r="F210" s="72">
        <f t="shared" si="15"/>
        <v>0</v>
      </c>
      <c r="G210" s="73">
        <f t="shared" si="16"/>
        <v>0</v>
      </c>
      <c r="H210" s="74">
        <f t="shared" si="17"/>
        <v>0</v>
      </c>
      <c r="I210" s="75">
        <f t="shared" si="18"/>
        <v>0</v>
      </c>
      <c r="J210" s="76">
        <f t="shared" si="19"/>
        <v>0</v>
      </c>
    </row>
    <row r="211" spans="6:10" ht="21.95" customHeight="1">
      <c r="F211" s="72">
        <f t="shared" si="15"/>
        <v>0</v>
      </c>
      <c r="G211" s="73">
        <f t="shared" si="16"/>
        <v>0</v>
      </c>
      <c r="H211" s="74">
        <f t="shared" si="17"/>
        <v>0</v>
      </c>
      <c r="I211" s="75">
        <f t="shared" si="18"/>
        <v>0</v>
      </c>
      <c r="J211" s="76">
        <f t="shared" si="19"/>
        <v>0</v>
      </c>
    </row>
    <row r="212" spans="6:10" ht="21.95" customHeight="1">
      <c r="F212" s="72">
        <f t="shared" si="15"/>
        <v>0</v>
      </c>
      <c r="G212" s="73">
        <f t="shared" si="16"/>
        <v>0</v>
      </c>
      <c r="H212" s="74">
        <f t="shared" si="17"/>
        <v>0</v>
      </c>
      <c r="I212" s="75">
        <f t="shared" si="18"/>
        <v>0</v>
      </c>
      <c r="J212" s="76">
        <f t="shared" si="19"/>
        <v>0</v>
      </c>
    </row>
    <row r="213" spans="6:10" ht="21.95" customHeight="1">
      <c r="F213" s="72">
        <f t="shared" si="15"/>
        <v>0</v>
      </c>
      <c r="G213" s="73">
        <f t="shared" si="16"/>
        <v>0</v>
      </c>
      <c r="H213" s="74">
        <f t="shared" si="17"/>
        <v>0</v>
      </c>
      <c r="I213" s="75">
        <f t="shared" si="18"/>
        <v>0</v>
      </c>
      <c r="J213" s="76">
        <f t="shared" si="19"/>
        <v>0</v>
      </c>
    </row>
    <row r="214" spans="6:10" ht="21.95" customHeight="1">
      <c r="F214" s="72">
        <f t="shared" si="15"/>
        <v>0</v>
      </c>
      <c r="G214" s="73">
        <f t="shared" si="16"/>
        <v>0</v>
      </c>
      <c r="H214" s="74">
        <f t="shared" si="17"/>
        <v>0</v>
      </c>
      <c r="I214" s="75">
        <f t="shared" si="18"/>
        <v>0</v>
      </c>
      <c r="J214" s="76">
        <f t="shared" si="19"/>
        <v>0</v>
      </c>
    </row>
    <row r="215" spans="6:10" ht="21.95" customHeight="1">
      <c r="F215" s="72">
        <f t="shared" si="15"/>
        <v>0</v>
      </c>
      <c r="G215" s="73">
        <f t="shared" si="16"/>
        <v>0</v>
      </c>
      <c r="H215" s="74">
        <f t="shared" si="17"/>
        <v>0</v>
      </c>
      <c r="I215" s="75">
        <f t="shared" si="18"/>
        <v>0</v>
      </c>
      <c r="J215" s="76">
        <f t="shared" si="19"/>
        <v>0</v>
      </c>
    </row>
    <row r="216" spans="6:10" ht="21.95" customHeight="1">
      <c r="F216" s="72">
        <f t="shared" si="15"/>
        <v>0</v>
      </c>
      <c r="G216" s="73">
        <f t="shared" si="16"/>
        <v>0</v>
      </c>
      <c r="H216" s="74">
        <f t="shared" si="17"/>
        <v>0</v>
      </c>
      <c r="I216" s="75">
        <f t="shared" si="18"/>
        <v>0</v>
      </c>
      <c r="J216" s="76">
        <f t="shared" si="19"/>
        <v>0</v>
      </c>
    </row>
    <row r="217" spans="6:10" ht="21.95" customHeight="1">
      <c r="F217" s="72">
        <f t="shared" si="15"/>
        <v>0</v>
      </c>
      <c r="G217" s="73">
        <f t="shared" si="16"/>
        <v>0</v>
      </c>
      <c r="H217" s="74">
        <f t="shared" si="17"/>
        <v>0</v>
      </c>
      <c r="I217" s="75">
        <f t="shared" si="18"/>
        <v>0</v>
      </c>
      <c r="J217" s="76">
        <f t="shared" si="19"/>
        <v>0</v>
      </c>
    </row>
    <row r="218" spans="6:10" ht="21.95" customHeight="1">
      <c r="F218" s="72">
        <f t="shared" si="15"/>
        <v>0</v>
      </c>
      <c r="G218" s="73">
        <f t="shared" si="16"/>
        <v>0</v>
      </c>
      <c r="H218" s="74">
        <f t="shared" si="17"/>
        <v>0</v>
      </c>
      <c r="I218" s="75">
        <f t="shared" si="18"/>
        <v>0</v>
      </c>
      <c r="J218" s="76">
        <f t="shared" si="19"/>
        <v>0</v>
      </c>
    </row>
    <row r="219" spans="6:10" ht="21.95" customHeight="1">
      <c r="F219" s="72">
        <f t="shared" si="15"/>
        <v>0</v>
      </c>
      <c r="G219" s="73">
        <f t="shared" si="16"/>
        <v>0</v>
      </c>
      <c r="H219" s="74">
        <f t="shared" si="17"/>
        <v>0</v>
      </c>
      <c r="I219" s="75">
        <f t="shared" si="18"/>
        <v>0</v>
      </c>
      <c r="J219" s="76">
        <f t="shared" si="19"/>
        <v>0</v>
      </c>
    </row>
    <row r="220" spans="6:10" ht="21.95" customHeight="1">
      <c r="F220" s="72">
        <f t="shared" si="15"/>
        <v>0</v>
      </c>
      <c r="G220" s="73">
        <f t="shared" si="16"/>
        <v>0</v>
      </c>
      <c r="H220" s="74">
        <f t="shared" si="17"/>
        <v>0</v>
      </c>
      <c r="I220" s="75">
        <f t="shared" si="18"/>
        <v>0</v>
      </c>
      <c r="J220" s="76">
        <f t="shared" si="19"/>
        <v>0</v>
      </c>
    </row>
    <row r="221" spans="6:10" ht="21.95" customHeight="1">
      <c r="F221" s="72">
        <f t="shared" si="15"/>
        <v>0</v>
      </c>
      <c r="G221" s="73">
        <f t="shared" si="16"/>
        <v>0</v>
      </c>
      <c r="H221" s="74">
        <f t="shared" si="17"/>
        <v>0</v>
      </c>
      <c r="I221" s="75">
        <f t="shared" si="18"/>
        <v>0</v>
      </c>
      <c r="J221" s="76">
        <f t="shared" si="19"/>
        <v>0</v>
      </c>
    </row>
    <row r="222" spans="6:10" ht="21.95" customHeight="1">
      <c r="F222" s="72">
        <f t="shared" si="15"/>
        <v>0</v>
      </c>
      <c r="G222" s="73">
        <f t="shared" si="16"/>
        <v>0</v>
      </c>
      <c r="H222" s="74">
        <f t="shared" si="17"/>
        <v>0</v>
      </c>
      <c r="I222" s="75">
        <f t="shared" si="18"/>
        <v>0</v>
      </c>
      <c r="J222" s="76">
        <f t="shared" si="19"/>
        <v>0</v>
      </c>
    </row>
    <row r="223" spans="6:10" ht="21.95" customHeight="1">
      <c r="F223" s="72">
        <f t="shared" si="15"/>
        <v>0</v>
      </c>
      <c r="G223" s="73">
        <f t="shared" si="16"/>
        <v>0</v>
      </c>
      <c r="H223" s="74">
        <f t="shared" si="17"/>
        <v>0</v>
      </c>
      <c r="I223" s="75">
        <f t="shared" si="18"/>
        <v>0</v>
      </c>
      <c r="J223" s="76">
        <f t="shared" si="19"/>
        <v>0</v>
      </c>
    </row>
    <row r="224" spans="6:10" ht="21.95" customHeight="1">
      <c r="F224" s="72">
        <f t="shared" si="15"/>
        <v>0</v>
      </c>
      <c r="G224" s="73">
        <f t="shared" si="16"/>
        <v>0</v>
      </c>
      <c r="H224" s="74">
        <f t="shared" si="17"/>
        <v>0</v>
      </c>
      <c r="I224" s="75">
        <f t="shared" si="18"/>
        <v>0</v>
      </c>
      <c r="J224" s="76">
        <f t="shared" si="19"/>
        <v>0</v>
      </c>
    </row>
    <row r="225" spans="6:10" ht="21.95" customHeight="1">
      <c r="F225" s="72">
        <f t="shared" si="15"/>
        <v>0</v>
      </c>
      <c r="G225" s="73">
        <f t="shared" si="16"/>
        <v>0</v>
      </c>
      <c r="H225" s="74">
        <f t="shared" si="17"/>
        <v>0</v>
      </c>
      <c r="I225" s="75">
        <f t="shared" si="18"/>
        <v>0</v>
      </c>
      <c r="J225" s="76">
        <f t="shared" si="19"/>
        <v>0</v>
      </c>
    </row>
    <row r="226" spans="6:10" ht="21.95" customHeight="1">
      <c r="F226" s="72">
        <f t="shared" si="15"/>
        <v>0</v>
      </c>
      <c r="G226" s="73">
        <f t="shared" si="16"/>
        <v>0</v>
      </c>
      <c r="H226" s="74">
        <f t="shared" si="17"/>
        <v>0</v>
      </c>
      <c r="I226" s="75">
        <f t="shared" si="18"/>
        <v>0</v>
      </c>
      <c r="J226" s="76">
        <f t="shared" si="19"/>
        <v>0</v>
      </c>
    </row>
    <row r="227" spans="6:10" ht="21.95" customHeight="1">
      <c r="F227" s="72">
        <f t="shared" si="15"/>
        <v>0</v>
      </c>
      <c r="G227" s="73">
        <f t="shared" si="16"/>
        <v>0</v>
      </c>
      <c r="H227" s="74">
        <f t="shared" si="17"/>
        <v>0</v>
      </c>
      <c r="I227" s="75">
        <f t="shared" si="18"/>
        <v>0</v>
      </c>
      <c r="J227" s="76">
        <f t="shared" si="19"/>
        <v>0</v>
      </c>
    </row>
    <row r="228" spans="6:10" ht="21.95" customHeight="1">
      <c r="F228" s="72">
        <f t="shared" si="15"/>
        <v>0</v>
      </c>
      <c r="G228" s="73">
        <f t="shared" si="16"/>
        <v>0</v>
      </c>
      <c r="H228" s="74">
        <f t="shared" si="17"/>
        <v>0</v>
      </c>
      <c r="I228" s="75">
        <f t="shared" si="18"/>
        <v>0</v>
      </c>
      <c r="J228" s="76">
        <f t="shared" si="19"/>
        <v>0</v>
      </c>
    </row>
    <row r="229" spans="6:10" ht="21.95" customHeight="1">
      <c r="F229" s="72">
        <f t="shared" si="15"/>
        <v>0</v>
      </c>
      <c r="G229" s="73">
        <f t="shared" si="16"/>
        <v>0</v>
      </c>
      <c r="H229" s="74">
        <f t="shared" si="17"/>
        <v>0</v>
      </c>
      <c r="I229" s="75">
        <f t="shared" si="18"/>
        <v>0</v>
      </c>
      <c r="J229" s="76">
        <f t="shared" si="19"/>
        <v>0</v>
      </c>
    </row>
    <row r="230" spans="6:10" ht="21.95" customHeight="1">
      <c r="F230" s="72">
        <f t="shared" si="15"/>
        <v>0</v>
      </c>
      <c r="G230" s="73">
        <f t="shared" si="16"/>
        <v>0</v>
      </c>
      <c r="H230" s="74">
        <f t="shared" si="17"/>
        <v>0</v>
      </c>
      <c r="I230" s="75">
        <f t="shared" si="18"/>
        <v>0</v>
      </c>
      <c r="J230" s="76">
        <f t="shared" si="19"/>
        <v>0</v>
      </c>
    </row>
    <row r="231" spans="6:10" ht="21.95" customHeight="1">
      <c r="F231" s="72">
        <f t="shared" si="15"/>
        <v>0</v>
      </c>
      <c r="G231" s="73">
        <f t="shared" si="16"/>
        <v>0</v>
      </c>
      <c r="H231" s="74">
        <f t="shared" si="17"/>
        <v>0</v>
      </c>
      <c r="I231" s="75">
        <f t="shared" si="18"/>
        <v>0</v>
      </c>
      <c r="J231" s="76">
        <f t="shared" si="19"/>
        <v>0</v>
      </c>
    </row>
    <row r="232" spans="6:10" ht="21.95" customHeight="1">
      <c r="F232" s="72">
        <f t="shared" si="15"/>
        <v>0</v>
      </c>
      <c r="G232" s="73">
        <f t="shared" si="16"/>
        <v>0</v>
      </c>
      <c r="H232" s="74">
        <f t="shared" si="17"/>
        <v>0</v>
      </c>
      <c r="I232" s="75">
        <f t="shared" si="18"/>
        <v>0</v>
      </c>
      <c r="J232" s="76">
        <f t="shared" si="19"/>
        <v>0</v>
      </c>
    </row>
    <row r="233" spans="6:10" ht="21.95" customHeight="1">
      <c r="F233" s="72">
        <f t="shared" si="15"/>
        <v>0</v>
      </c>
      <c r="G233" s="73">
        <f t="shared" si="16"/>
        <v>0</v>
      </c>
      <c r="H233" s="74">
        <f t="shared" si="17"/>
        <v>0</v>
      </c>
      <c r="I233" s="75">
        <f t="shared" si="18"/>
        <v>0</v>
      </c>
      <c r="J233" s="76">
        <f t="shared" si="19"/>
        <v>0</v>
      </c>
    </row>
    <row r="234" spans="6:10" ht="21.95" customHeight="1">
      <c r="F234" s="72">
        <f t="shared" si="15"/>
        <v>0</v>
      </c>
      <c r="G234" s="73">
        <f t="shared" si="16"/>
        <v>0</v>
      </c>
      <c r="H234" s="74">
        <f t="shared" si="17"/>
        <v>0</v>
      </c>
      <c r="I234" s="75">
        <f t="shared" si="18"/>
        <v>0</v>
      </c>
      <c r="J234" s="76">
        <f t="shared" si="19"/>
        <v>0</v>
      </c>
    </row>
    <row r="235" spans="6:10" ht="21.95" customHeight="1">
      <c r="F235" s="72">
        <f t="shared" si="15"/>
        <v>0</v>
      </c>
      <c r="G235" s="73">
        <f t="shared" si="16"/>
        <v>0</v>
      </c>
      <c r="H235" s="74">
        <f t="shared" si="17"/>
        <v>0</v>
      </c>
      <c r="I235" s="75">
        <f t="shared" si="18"/>
        <v>0</v>
      </c>
      <c r="J235" s="76">
        <f t="shared" si="19"/>
        <v>0</v>
      </c>
    </row>
    <row r="236" spans="6:10" ht="21.95" customHeight="1">
      <c r="F236" s="72">
        <f t="shared" si="15"/>
        <v>0</v>
      </c>
      <c r="G236" s="73">
        <f t="shared" si="16"/>
        <v>0</v>
      </c>
      <c r="H236" s="74">
        <f t="shared" si="17"/>
        <v>0</v>
      </c>
      <c r="I236" s="75">
        <f t="shared" si="18"/>
        <v>0</v>
      </c>
      <c r="J236" s="76">
        <f t="shared" si="19"/>
        <v>0</v>
      </c>
    </row>
    <row r="237" spans="6:10" ht="21.95" customHeight="1">
      <c r="F237" s="72">
        <f t="shared" si="15"/>
        <v>0</v>
      </c>
      <c r="G237" s="73">
        <f t="shared" si="16"/>
        <v>0</v>
      </c>
      <c r="H237" s="74">
        <f t="shared" si="17"/>
        <v>0</v>
      </c>
      <c r="I237" s="75">
        <f t="shared" si="18"/>
        <v>0</v>
      </c>
      <c r="J237" s="76">
        <f t="shared" si="19"/>
        <v>0</v>
      </c>
    </row>
    <row r="238" spans="6:10" ht="21.95" customHeight="1">
      <c r="F238" s="72">
        <f t="shared" si="15"/>
        <v>0</v>
      </c>
      <c r="G238" s="73">
        <f t="shared" si="16"/>
        <v>0</v>
      </c>
      <c r="H238" s="74">
        <f t="shared" si="17"/>
        <v>0</v>
      </c>
      <c r="I238" s="75">
        <f t="shared" si="18"/>
        <v>0</v>
      </c>
      <c r="J238" s="76">
        <f t="shared" si="19"/>
        <v>0</v>
      </c>
    </row>
    <row r="239" spans="6:10" ht="21.95" customHeight="1">
      <c r="F239" s="72">
        <f t="shared" si="15"/>
        <v>0</v>
      </c>
      <c r="G239" s="73">
        <f t="shared" si="16"/>
        <v>0</v>
      </c>
      <c r="H239" s="74">
        <f t="shared" si="17"/>
        <v>0</v>
      </c>
      <c r="I239" s="75">
        <f t="shared" si="18"/>
        <v>0</v>
      </c>
      <c r="J239" s="76">
        <f t="shared" si="19"/>
        <v>0</v>
      </c>
    </row>
    <row r="240" spans="6:10" ht="21.95" customHeight="1">
      <c r="F240" s="72">
        <f t="shared" si="15"/>
        <v>0</v>
      </c>
      <c r="G240" s="73">
        <f t="shared" si="16"/>
        <v>0</v>
      </c>
      <c r="H240" s="74">
        <f t="shared" si="17"/>
        <v>0</v>
      </c>
      <c r="I240" s="75">
        <f t="shared" si="18"/>
        <v>0</v>
      </c>
      <c r="J240" s="76">
        <f t="shared" si="19"/>
        <v>0</v>
      </c>
    </row>
    <row r="241" spans="6:10" ht="21.95" customHeight="1">
      <c r="F241" s="72">
        <f t="shared" si="15"/>
        <v>0</v>
      </c>
      <c r="G241" s="73">
        <f t="shared" si="16"/>
        <v>0</v>
      </c>
      <c r="H241" s="74">
        <f t="shared" si="17"/>
        <v>0</v>
      </c>
      <c r="I241" s="75">
        <f t="shared" si="18"/>
        <v>0</v>
      </c>
      <c r="J241" s="76">
        <f t="shared" si="19"/>
        <v>0</v>
      </c>
    </row>
    <row r="242" spans="6:10" ht="21.95" customHeight="1">
      <c r="F242" s="72">
        <f t="shared" si="15"/>
        <v>0</v>
      </c>
      <c r="G242" s="73">
        <f t="shared" si="16"/>
        <v>0</v>
      </c>
      <c r="H242" s="74">
        <f t="shared" si="17"/>
        <v>0</v>
      </c>
      <c r="I242" s="75">
        <f t="shared" si="18"/>
        <v>0</v>
      </c>
      <c r="J242" s="76">
        <f t="shared" si="19"/>
        <v>0</v>
      </c>
    </row>
    <row r="243" spans="6:10" ht="21.95" customHeight="1">
      <c r="F243" s="72">
        <f t="shared" si="15"/>
        <v>0</v>
      </c>
      <c r="G243" s="73">
        <f t="shared" si="16"/>
        <v>0</v>
      </c>
      <c r="H243" s="74">
        <f t="shared" si="17"/>
        <v>0</v>
      </c>
      <c r="I243" s="75">
        <f t="shared" si="18"/>
        <v>0</v>
      </c>
      <c r="J243" s="76">
        <f t="shared" si="19"/>
        <v>0</v>
      </c>
    </row>
    <row r="244" spans="6:10" ht="21.95" customHeight="1">
      <c r="F244" s="72">
        <f t="shared" si="15"/>
        <v>0</v>
      </c>
      <c r="G244" s="73">
        <f t="shared" si="16"/>
        <v>0</v>
      </c>
      <c r="H244" s="74">
        <f t="shared" si="17"/>
        <v>0</v>
      </c>
      <c r="I244" s="75">
        <f t="shared" si="18"/>
        <v>0</v>
      </c>
      <c r="J244" s="76">
        <f t="shared" si="19"/>
        <v>0</v>
      </c>
    </row>
    <row r="245" spans="6:10" ht="21.95" customHeight="1">
      <c r="F245" s="72">
        <f t="shared" si="15"/>
        <v>0</v>
      </c>
      <c r="G245" s="73">
        <f t="shared" si="16"/>
        <v>0</v>
      </c>
      <c r="H245" s="74">
        <f t="shared" si="17"/>
        <v>0</v>
      </c>
      <c r="I245" s="75">
        <f t="shared" si="18"/>
        <v>0</v>
      </c>
      <c r="J245" s="76">
        <f t="shared" si="19"/>
        <v>0</v>
      </c>
    </row>
    <row r="246" spans="6:10" ht="21.95" customHeight="1">
      <c r="F246" s="72">
        <f t="shared" si="15"/>
        <v>0</v>
      </c>
      <c r="G246" s="73">
        <f t="shared" si="16"/>
        <v>0</v>
      </c>
      <c r="H246" s="74">
        <f t="shared" si="17"/>
        <v>0</v>
      </c>
      <c r="I246" s="75">
        <f t="shared" si="18"/>
        <v>0</v>
      </c>
      <c r="J246" s="76">
        <f t="shared" si="19"/>
        <v>0</v>
      </c>
    </row>
    <row r="247" spans="6:10" ht="21.95" customHeight="1">
      <c r="F247" s="72">
        <f t="shared" si="15"/>
        <v>0</v>
      </c>
      <c r="G247" s="73">
        <f t="shared" si="16"/>
        <v>0</v>
      </c>
      <c r="H247" s="74">
        <f t="shared" si="17"/>
        <v>0</v>
      </c>
      <c r="I247" s="75">
        <f t="shared" si="18"/>
        <v>0</v>
      </c>
      <c r="J247" s="76">
        <f t="shared" si="19"/>
        <v>0</v>
      </c>
    </row>
    <row r="248" spans="6:10" ht="21.95" customHeight="1">
      <c r="F248" s="72">
        <f t="shared" si="15"/>
        <v>0</v>
      </c>
      <c r="G248" s="73">
        <f t="shared" si="16"/>
        <v>0</v>
      </c>
      <c r="H248" s="74">
        <f t="shared" si="17"/>
        <v>0</v>
      </c>
      <c r="I248" s="75">
        <f t="shared" si="18"/>
        <v>0</v>
      </c>
      <c r="J248" s="76">
        <f t="shared" si="19"/>
        <v>0</v>
      </c>
    </row>
    <row r="249" spans="6:10" ht="21.95" customHeight="1">
      <c r="F249" s="72">
        <f t="shared" si="15"/>
        <v>0</v>
      </c>
      <c r="G249" s="73">
        <f t="shared" si="16"/>
        <v>0</v>
      </c>
      <c r="H249" s="74">
        <f t="shared" si="17"/>
        <v>0</v>
      </c>
      <c r="I249" s="75">
        <f t="shared" si="18"/>
        <v>0</v>
      </c>
      <c r="J249" s="76">
        <f t="shared" si="19"/>
        <v>0</v>
      </c>
    </row>
    <row r="250" spans="6:10" ht="21.95" customHeight="1">
      <c r="F250" s="72">
        <f t="shared" si="15"/>
        <v>0</v>
      </c>
      <c r="G250" s="73">
        <f t="shared" si="16"/>
        <v>0</v>
      </c>
      <c r="H250" s="74">
        <f t="shared" si="17"/>
        <v>0</v>
      </c>
      <c r="I250" s="75">
        <f t="shared" si="18"/>
        <v>0</v>
      </c>
      <c r="J250" s="76">
        <f t="shared" si="19"/>
        <v>0</v>
      </c>
    </row>
    <row r="251" spans="6:10" ht="21.95" customHeight="1">
      <c r="F251" s="72">
        <f t="shared" si="15"/>
        <v>0</v>
      </c>
      <c r="G251" s="73">
        <f t="shared" si="16"/>
        <v>0</v>
      </c>
      <c r="H251" s="74">
        <f t="shared" si="17"/>
        <v>0</v>
      </c>
      <c r="I251" s="75">
        <f t="shared" si="18"/>
        <v>0</v>
      </c>
      <c r="J251" s="76">
        <f t="shared" si="19"/>
        <v>0</v>
      </c>
    </row>
    <row r="252" spans="6:10" ht="21.95" customHeight="1">
      <c r="F252" s="72">
        <f t="shared" si="15"/>
        <v>0</v>
      </c>
      <c r="G252" s="73">
        <f t="shared" si="16"/>
        <v>0</v>
      </c>
      <c r="H252" s="74">
        <f t="shared" si="17"/>
        <v>0</v>
      </c>
      <c r="I252" s="75">
        <f t="shared" si="18"/>
        <v>0</v>
      </c>
      <c r="J252" s="76">
        <f t="shared" si="19"/>
        <v>0</v>
      </c>
    </row>
    <row r="253" spans="6:10" ht="21.95" customHeight="1">
      <c r="F253" s="72">
        <f t="shared" si="15"/>
        <v>0</v>
      </c>
      <c r="G253" s="73">
        <f t="shared" si="16"/>
        <v>0</v>
      </c>
      <c r="H253" s="74">
        <f t="shared" si="17"/>
        <v>0</v>
      </c>
      <c r="I253" s="75">
        <f t="shared" si="18"/>
        <v>0</v>
      </c>
      <c r="J253" s="76">
        <f t="shared" si="19"/>
        <v>0</v>
      </c>
    </row>
    <row r="254" spans="6:10" ht="21.95" customHeight="1">
      <c r="F254" s="72">
        <f t="shared" si="15"/>
        <v>0</v>
      </c>
      <c r="G254" s="73">
        <f t="shared" si="16"/>
        <v>0</v>
      </c>
      <c r="H254" s="74">
        <f t="shared" si="17"/>
        <v>0</v>
      </c>
      <c r="I254" s="75">
        <f t="shared" si="18"/>
        <v>0</v>
      </c>
      <c r="J254" s="76">
        <f t="shared" si="19"/>
        <v>0</v>
      </c>
    </row>
    <row r="255" spans="6:10" ht="21.95" customHeight="1">
      <c r="F255" s="72">
        <f t="shared" si="15"/>
        <v>0</v>
      </c>
      <c r="G255" s="73">
        <f t="shared" si="16"/>
        <v>0</v>
      </c>
      <c r="H255" s="74">
        <f t="shared" si="17"/>
        <v>0</v>
      </c>
      <c r="I255" s="75">
        <f t="shared" si="18"/>
        <v>0</v>
      </c>
      <c r="J255" s="76">
        <f t="shared" si="19"/>
        <v>0</v>
      </c>
    </row>
    <row r="256" spans="6:10" ht="21.95" customHeight="1">
      <c r="F256" s="72">
        <f t="shared" si="15"/>
        <v>0</v>
      </c>
      <c r="G256" s="73">
        <f t="shared" si="16"/>
        <v>0</v>
      </c>
      <c r="H256" s="74">
        <f t="shared" si="17"/>
        <v>0</v>
      </c>
      <c r="I256" s="75">
        <f t="shared" si="18"/>
        <v>0</v>
      </c>
      <c r="J256" s="76">
        <f t="shared" si="19"/>
        <v>0</v>
      </c>
    </row>
    <row r="257" spans="6:10" ht="21.95" customHeight="1">
      <c r="F257" s="72">
        <f t="shared" si="15"/>
        <v>0</v>
      </c>
      <c r="G257" s="73">
        <f t="shared" si="16"/>
        <v>0</v>
      </c>
      <c r="H257" s="74">
        <f t="shared" si="17"/>
        <v>0</v>
      </c>
      <c r="I257" s="75">
        <f t="shared" si="18"/>
        <v>0</v>
      </c>
      <c r="J257" s="76">
        <f t="shared" si="19"/>
        <v>0</v>
      </c>
    </row>
    <row r="258" spans="6:10" ht="21.95" customHeight="1">
      <c r="F258" s="72">
        <f t="shared" si="15"/>
        <v>0</v>
      </c>
      <c r="G258" s="73">
        <f t="shared" si="16"/>
        <v>0</v>
      </c>
      <c r="H258" s="74">
        <f t="shared" si="17"/>
        <v>0</v>
      </c>
      <c r="I258" s="75">
        <f t="shared" si="18"/>
        <v>0</v>
      </c>
      <c r="J258" s="76">
        <f t="shared" si="19"/>
        <v>0</v>
      </c>
    </row>
    <row r="259" spans="6:10" ht="21.95" customHeight="1">
      <c r="F259" s="72">
        <f t="shared" ref="F259:F322" si="20">COUNTIF(L259:AA259,2)*15/60+COUNTIF(AF259:AU259,2)*15/60+COUNTIF(AX259:BS259,4)*15/60</f>
        <v>0</v>
      </c>
      <c r="G259" s="73">
        <f t="shared" ref="G259:G322" si="21">COUNTIF(L259:AA259,2)*15/60 + COUNTIF(AF259:AU259,2)*15/60 + COUNTIF(L259:AA259,3)*15/60 + COUNTIF(AF259:AU259,3)*15/60 + COUNTIF(AX259:BS259,4)*15/60</f>
        <v>0</v>
      </c>
      <c r="H259" s="74">
        <f t="shared" ref="H259:H322" si="22">F259-G259</f>
        <v>0</v>
      </c>
      <c r="I259" s="75">
        <f t="shared" ref="I259:I322" si="23">COUNTIF(AX259:BS259,4)*15/60</f>
        <v>0</v>
      </c>
      <c r="J259" s="76">
        <f t="shared" ref="J259:J322" si="24">COUNTIF(L259:AA259,5)*15/60 + COUNTIF(AF259:AU259,5)*15/60</f>
        <v>0</v>
      </c>
    </row>
    <row r="260" spans="6:10" ht="21.95" customHeight="1">
      <c r="F260" s="72">
        <f t="shared" si="20"/>
        <v>0</v>
      </c>
      <c r="G260" s="73">
        <f t="shared" si="21"/>
        <v>0</v>
      </c>
      <c r="H260" s="74">
        <f t="shared" si="22"/>
        <v>0</v>
      </c>
      <c r="I260" s="75">
        <f t="shared" si="23"/>
        <v>0</v>
      </c>
      <c r="J260" s="76">
        <f t="shared" si="24"/>
        <v>0</v>
      </c>
    </row>
    <row r="261" spans="6:10" ht="21.95" customHeight="1">
      <c r="F261" s="72">
        <f t="shared" si="20"/>
        <v>0</v>
      </c>
      <c r="G261" s="73">
        <f t="shared" si="21"/>
        <v>0</v>
      </c>
      <c r="H261" s="74">
        <f t="shared" si="22"/>
        <v>0</v>
      </c>
      <c r="I261" s="75">
        <f t="shared" si="23"/>
        <v>0</v>
      </c>
      <c r="J261" s="76">
        <f t="shared" si="24"/>
        <v>0</v>
      </c>
    </row>
    <row r="262" spans="6:10" ht="21.95" customHeight="1">
      <c r="F262" s="72">
        <f t="shared" si="20"/>
        <v>0</v>
      </c>
      <c r="G262" s="73">
        <f t="shared" si="21"/>
        <v>0</v>
      </c>
      <c r="H262" s="74">
        <f t="shared" si="22"/>
        <v>0</v>
      </c>
      <c r="I262" s="75">
        <f t="shared" si="23"/>
        <v>0</v>
      </c>
      <c r="J262" s="76">
        <f t="shared" si="24"/>
        <v>0</v>
      </c>
    </row>
    <row r="263" spans="6:10" ht="21.95" customHeight="1">
      <c r="F263" s="72">
        <f t="shared" si="20"/>
        <v>0</v>
      </c>
      <c r="G263" s="73">
        <f t="shared" si="21"/>
        <v>0</v>
      </c>
      <c r="H263" s="74">
        <f t="shared" si="22"/>
        <v>0</v>
      </c>
      <c r="I263" s="75">
        <f t="shared" si="23"/>
        <v>0</v>
      </c>
      <c r="J263" s="76">
        <f t="shared" si="24"/>
        <v>0</v>
      </c>
    </row>
    <row r="264" spans="6:10" ht="21.95" customHeight="1">
      <c r="F264" s="72">
        <f t="shared" si="20"/>
        <v>0</v>
      </c>
      <c r="G264" s="73">
        <f t="shared" si="21"/>
        <v>0</v>
      </c>
      <c r="H264" s="74">
        <f t="shared" si="22"/>
        <v>0</v>
      </c>
      <c r="I264" s="75">
        <f t="shared" si="23"/>
        <v>0</v>
      </c>
      <c r="J264" s="76">
        <f t="shared" si="24"/>
        <v>0</v>
      </c>
    </row>
    <row r="265" spans="6:10" ht="21.95" customHeight="1">
      <c r="F265" s="72">
        <f t="shared" si="20"/>
        <v>0</v>
      </c>
      <c r="G265" s="73">
        <f t="shared" si="21"/>
        <v>0</v>
      </c>
      <c r="H265" s="74">
        <f t="shared" si="22"/>
        <v>0</v>
      </c>
      <c r="I265" s="75">
        <f t="shared" si="23"/>
        <v>0</v>
      </c>
      <c r="J265" s="76">
        <f t="shared" si="24"/>
        <v>0</v>
      </c>
    </row>
    <row r="266" spans="6:10" ht="21.95" customHeight="1">
      <c r="F266" s="72">
        <f t="shared" si="20"/>
        <v>0</v>
      </c>
      <c r="G266" s="73">
        <f t="shared" si="21"/>
        <v>0</v>
      </c>
      <c r="H266" s="74">
        <f t="shared" si="22"/>
        <v>0</v>
      </c>
      <c r="I266" s="75">
        <f t="shared" si="23"/>
        <v>0</v>
      </c>
      <c r="J266" s="76">
        <f t="shared" si="24"/>
        <v>0</v>
      </c>
    </row>
    <row r="267" spans="6:10" ht="21.95" customHeight="1">
      <c r="F267" s="72">
        <f t="shared" si="20"/>
        <v>0</v>
      </c>
      <c r="G267" s="73">
        <f t="shared" si="21"/>
        <v>0</v>
      </c>
      <c r="H267" s="74">
        <f t="shared" si="22"/>
        <v>0</v>
      </c>
      <c r="I267" s="75">
        <f t="shared" si="23"/>
        <v>0</v>
      </c>
      <c r="J267" s="76">
        <f t="shared" si="24"/>
        <v>0</v>
      </c>
    </row>
    <row r="268" spans="6:10" ht="21.95" customHeight="1">
      <c r="F268" s="72">
        <f t="shared" si="20"/>
        <v>0</v>
      </c>
      <c r="G268" s="73">
        <f t="shared" si="21"/>
        <v>0</v>
      </c>
      <c r="H268" s="74">
        <f t="shared" si="22"/>
        <v>0</v>
      </c>
      <c r="I268" s="75">
        <f t="shared" si="23"/>
        <v>0</v>
      </c>
      <c r="J268" s="76">
        <f t="shared" si="24"/>
        <v>0</v>
      </c>
    </row>
    <row r="269" spans="6:10" ht="21.95" customHeight="1">
      <c r="F269" s="72">
        <f t="shared" si="20"/>
        <v>0</v>
      </c>
      <c r="G269" s="73">
        <f t="shared" si="21"/>
        <v>0</v>
      </c>
      <c r="H269" s="74">
        <f t="shared" si="22"/>
        <v>0</v>
      </c>
      <c r="I269" s="75">
        <f t="shared" si="23"/>
        <v>0</v>
      </c>
      <c r="J269" s="76">
        <f t="shared" si="24"/>
        <v>0</v>
      </c>
    </row>
    <row r="270" spans="6:10" ht="21.95" customHeight="1">
      <c r="F270" s="72">
        <f t="shared" si="20"/>
        <v>0</v>
      </c>
      <c r="G270" s="73">
        <f t="shared" si="21"/>
        <v>0</v>
      </c>
      <c r="H270" s="74">
        <f t="shared" si="22"/>
        <v>0</v>
      </c>
      <c r="I270" s="75">
        <f t="shared" si="23"/>
        <v>0</v>
      </c>
      <c r="J270" s="76">
        <f t="shared" si="24"/>
        <v>0</v>
      </c>
    </row>
    <row r="271" spans="6:10" ht="21.95" customHeight="1">
      <c r="F271" s="72">
        <f t="shared" si="20"/>
        <v>0</v>
      </c>
      <c r="G271" s="73">
        <f t="shared" si="21"/>
        <v>0</v>
      </c>
      <c r="H271" s="74">
        <f t="shared" si="22"/>
        <v>0</v>
      </c>
      <c r="I271" s="75">
        <f t="shared" si="23"/>
        <v>0</v>
      </c>
      <c r="J271" s="76">
        <f t="shared" si="24"/>
        <v>0</v>
      </c>
    </row>
    <row r="272" spans="6:10" ht="21.95" customHeight="1">
      <c r="F272" s="72">
        <f t="shared" si="20"/>
        <v>0</v>
      </c>
      <c r="G272" s="73">
        <f t="shared" si="21"/>
        <v>0</v>
      </c>
      <c r="H272" s="74">
        <f t="shared" si="22"/>
        <v>0</v>
      </c>
      <c r="I272" s="75">
        <f t="shared" si="23"/>
        <v>0</v>
      </c>
      <c r="J272" s="76">
        <f t="shared" si="24"/>
        <v>0</v>
      </c>
    </row>
    <row r="273" spans="6:10" ht="21.95" customHeight="1">
      <c r="F273" s="72">
        <f t="shared" si="20"/>
        <v>0</v>
      </c>
      <c r="G273" s="73">
        <f t="shared" si="21"/>
        <v>0</v>
      </c>
      <c r="H273" s="74">
        <f t="shared" si="22"/>
        <v>0</v>
      </c>
      <c r="I273" s="75">
        <f t="shared" si="23"/>
        <v>0</v>
      </c>
      <c r="J273" s="76">
        <f t="shared" si="24"/>
        <v>0</v>
      </c>
    </row>
    <row r="274" spans="6:10" ht="21.95" customHeight="1">
      <c r="F274" s="72">
        <f t="shared" si="20"/>
        <v>0</v>
      </c>
      <c r="G274" s="73">
        <f t="shared" si="21"/>
        <v>0</v>
      </c>
      <c r="H274" s="74">
        <f t="shared" si="22"/>
        <v>0</v>
      </c>
      <c r="I274" s="75">
        <f t="shared" si="23"/>
        <v>0</v>
      </c>
      <c r="J274" s="76">
        <f t="shared" si="24"/>
        <v>0</v>
      </c>
    </row>
    <row r="275" spans="6:10" ht="21.95" customHeight="1">
      <c r="F275" s="72">
        <f t="shared" si="20"/>
        <v>0</v>
      </c>
      <c r="G275" s="73">
        <f t="shared" si="21"/>
        <v>0</v>
      </c>
      <c r="H275" s="74">
        <f t="shared" si="22"/>
        <v>0</v>
      </c>
      <c r="I275" s="75">
        <f t="shared" si="23"/>
        <v>0</v>
      </c>
      <c r="J275" s="76">
        <f t="shared" si="24"/>
        <v>0</v>
      </c>
    </row>
    <row r="276" spans="6:10" ht="21.95" customHeight="1">
      <c r="F276" s="72">
        <f t="shared" si="20"/>
        <v>0</v>
      </c>
      <c r="G276" s="73">
        <f t="shared" si="21"/>
        <v>0</v>
      </c>
      <c r="H276" s="74">
        <f t="shared" si="22"/>
        <v>0</v>
      </c>
      <c r="I276" s="75">
        <f t="shared" si="23"/>
        <v>0</v>
      </c>
      <c r="J276" s="76">
        <f t="shared" si="24"/>
        <v>0</v>
      </c>
    </row>
    <row r="277" spans="6:10" ht="21.95" customHeight="1">
      <c r="F277" s="72">
        <f t="shared" si="20"/>
        <v>0</v>
      </c>
      <c r="G277" s="73">
        <f t="shared" si="21"/>
        <v>0</v>
      </c>
      <c r="H277" s="74">
        <f t="shared" si="22"/>
        <v>0</v>
      </c>
      <c r="I277" s="75">
        <f t="shared" si="23"/>
        <v>0</v>
      </c>
      <c r="J277" s="76">
        <f t="shared" si="24"/>
        <v>0</v>
      </c>
    </row>
    <row r="278" spans="6:10" ht="21.95" customHeight="1">
      <c r="F278" s="72">
        <f t="shared" si="20"/>
        <v>0</v>
      </c>
      <c r="G278" s="73">
        <f t="shared" si="21"/>
        <v>0</v>
      </c>
      <c r="H278" s="74">
        <f t="shared" si="22"/>
        <v>0</v>
      </c>
      <c r="I278" s="75">
        <f t="shared" si="23"/>
        <v>0</v>
      </c>
      <c r="J278" s="76">
        <f t="shared" si="24"/>
        <v>0</v>
      </c>
    </row>
    <row r="279" spans="6:10" ht="21.95" customHeight="1">
      <c r="F279" s="72">
        <f t="shared" si="20"/>
        <v>0</v>
      </c>
      <c r="G279" s="73">
        <f t="shared" si="21"/>
        <v>0</v>
      </c>
      <c r="H279" s="74">
        <f t="shared" si="22"/>
        <v>0</v>
      </c>
      <c r="I279" s="75">
        <f t="shared" si="23"/>
        <v>0</v>
      </c>
      <c r="J279" s="76">
        <f t="shared" si="24"/>
        <v>0</v>
      </c>
    </row>
    <row r="280" spans="6:10" ht="21.95" customHeight="1">
      <c r="F280" s="72">
        <f t="shared" si="20"/>
        <v>0</v>
      </c>
      <c r="G280" s="73">
        <f t="shared" si="21"/>
        <v>0</v>
      </c>
      <c r="H280" s="74">
        <f t="shared" si="22"/>
        <v>0</v>
      </c>
      <c r="I280" s="75">
        <f t="shared" si="23"/>
        <v>0</v>
      </c>
      <c r="J280" s="76">
        <f t="shared" si="24"/>
        <v>0</v>
      </c>
    </row>
    <row r="281" spans="6:10" ht="21.95" customHeight="1">
      <c r="F281" s="72">
        <f t="shared" si="20"/>
        <v>0</v>
      </c>
      <c r="G281" s="73">
        <f t="shared" si="21"/>
        <v>0</v>
      </c>
      <c r="H281" s="74">
        <f t="shared" si="22"/>
        <v>0</v>
      </c>
      <c r="I281" s="75">
        <f t="shared" si="23"/>
        <v>0</v>
      </c>
      <c r="J281" s="76">
        <f t="shared" si="24"/>
        <v>0</v>
      </c>
    </row>
    <row r="282" spans="6:10" ht="21.95" customHeight="1">
      <c r="F282" s="72">
        <f t="shared" si="20"/>
        <v>0</v>
      </c>
      <c r="G282" s="73">
        <f t="shared" si="21"/>
        <v>0</v>
      </c>
      <c r="H282" s="74">
        <f t="shared" si="22"/>
        <v>0</v>
      </c>
      <c r="I282" s="75">
        <f t="shared" si="23"/>
        <v>0</v>
      </c>
      <c r="J282" s="76">
        <f t="shared" si="24"/>
        <v>0</v>
      </c>
    </row>
    <row r="283" spans="6:10" ht="21.95" customHeight="1">
      <c r="F283" s="72">
        <f t="shared" si="20"/>
        <v>0</v>
      </c>
      <c r="G283" s="73">
        <f t="shared" si="21"/>
        <v>0</v>
      </c>
      <c r="H283" s="74">
        <f t="shared" si="22"/>
        <v>0</v>
      </c>
      <c r="I283" s="75">
        <f t="shared" si="23"/>
        <v>0</v>
      </c>
      <c r="J283" s="76">
        <f t="shared" si="24"/>
        <v>0</v>
      </c>
    </row>
    <row r="284" spans="6:10" ht="21.95" customHeight="1">
      <c r="F284" s="72">
        <f t="shared" si="20"/>
        <v>0</v>
      </c>
      <c r="G284" s="73">
        <f t="shared" si="21"/>
        <v>0</v>
      </c>
      <c r="H284" s="74">
        <f t="shared" si="22"/>
        <v>0</v>
      </c>
      <c r="I284" s="75">
        <f t="shared" si="23"/>
        <v>0</v>
      </c>
      <c r="J284" s="76">
        <f t="shared" si="24"/>
        <v>0</v>
      </c>
    </row>
    <row r="285" spans="6:10" ht="21.95" customHeight="1">
      <c r="F285" s="72">
        <f t="shared" si="20"/>
        <v>0</v>
      </c>
      <c r="G285" s="73">
        <f t="shared" si="21"/>
        <v>0</v>
      </c>
      <c r="H285" s="74">
        <f t="shared" si="22"/>
        <v>0</v>
      </c>
      <c r="I285" s="75">
        <f t="shared" si="23"/>
        <v>0</v>
      </c>
      <c r="J285" s="76">
        <f t="shared" si="24"/>
        <v>0</v>
      </c>
    </row>
    <row r="286" spans="6:10" ht="21.95" customHeight="1">
      <c r="F286" s="72">
        <f t="shared" si="20"/>
        <v>0</v>
      </c>
      <c r="G286" s="73">
        <f t="shared" si="21"/>
        <v>0</v>
      </c>
      <c r="H286" s="74">
        <f t="shared" si="22"/>
        <v>0</v>
      </c>
      <c r="I286" s="75">
        <f t="shared" si="23"/>
        <v>0</v>
      </c>
      <c r="J286" s="76">
        <f t="shared" si="24"/>
        <v>0</v>
      </c>
    </row>
    <row r="287" spans="6:10" ht="21.95" customHeight="1">
      <c r="F287" s="72">
        <f t="shared" si="20"/>
        <v>0</v>
      </c>
      <c r="G287" s="73">
        <f t="shared" si="21"/>
        <v>0</v>
      </c>
      <c r="H287" s="74">
        <f t="shared" si="22"/>
        <v>0</v>
      </c>
      <c r="I287" s="75">
        <f t="shared" si="23"/>
        <v>0</v>
      </c>
      <c r="J287" s="76">
        <f t="shared" si="24"/>
        <v>0</v>
      </c>
    </row>
    <row r="288" spans="6:10" ht="21.95" customHeight="1">
      <c r="F288" s="72">
        <f t="shared" si="20"/>
        <v>0</v>
      </c>
      <c r="G288" s="73">
        <f t="shared" si="21"/>
        <v>0</v>
      </c>
      <c r="H288" s="74">
        <f t="shared" si="22"/>
        <v>0</v>
      </c>
      <c r="I288" s="75">
        <f t="shared" si="23"/>
        <v>0</v>
      </c>
      <c r="J288" s="76">
        <f t="shared" si="24"/>
        <v>0</v>
      </c>
    </row>
    <row r="289" spans="6:10" ht="21.95" customHeight="1">
      <c r="F289" s="72">
        <f t="shared" si="20"/>
        <v>0</v>
      </c>
      <c r="G289" s="73">
        <f t="shared" si="21"/>
        <v>0</v>
      </c>
      <c r="H289" s="74">
        <f t="shared" si="22"/>
        <v>0</v>
      </c>
      <c r="I289" s="75">
        <f t="shared" si="23"/>
        <v>0</v>
      </c>
      <c r="J289" s="76">
        <f t="shared" si="24"/>
        <v>0</v>
      </c>
    </row>
    <row r="290" spans="6:10" ht="21.95" customHeight="1">
      <c r="F290" s="72">
        <f t="shared" si="20"/>
        <v>0</v>
      </c>
      <c r="G290" s="73">
        <f t="shared" si="21"/>
        <v>0</v>
      </c>
      <c r="H290" s="74">
        <f t="shared" si="22"/>
        <v>0</v>
      </c>
      <c r="I290" s="75">
        <f t="shared" si="23"/>
        <v>0</v>
      </c>
      <c r="J290" s="76">
        <f t="shared" si="24"/>
        <v>0</v>
      </c>
    </row>
    <row r="291" spans="6:10" ht="21.95" customHeight="1">
      <c r="F291" s="72">
        <f t="shared" si="20"/>
        <v>0</v>
      </c>
      <c r="G291" s="73">
        <f t="shared" si="21"/>
        <v>0</v>
      </c>
      <c r="H291" s="74">
        <f t="shared" si="22"/>
        <v>0</v>
      </c>
      <c r="I291" s="75">
        <f t="shared" si="23"/>
        <v>0</v>
      </c>
      <c r="J291" s="76">
        <f t="shared" si="24"/>
        <v>0</v>
      </c>
    </row>
    <row r="292" spans="6:10" ht="21.95" customHeight="1">
      <c r="F292" s="72">
        <f t="shared" si="20"/>
        <v>0</v>
      </c>
      <c r="G292" s="73">
        <f t="shared" si="21"/>
        <v>0</v>
      </c>
      <c r="H292" s="74">
        <f t="shared" si="22"/>
        <v>0</v>
      </c>
      <c r="I292" s="75">
        <f t="shared" si="23"/>
        <v>0</v>
      </c>
      <c r="J292" s="76">
        <f t="shared" si="24"/>
        <v>0</v>
      </c>
    </row>
    <row r="293" spans="6:10" ht="21.95" customHeight="1">
      <c r="F293" s="72">
        <f t="shared" si="20"/>
        <v>0</v>
      </c>
      <c r="G293" s="73">
        <f t="shared" si="21"/>
        <v>0</v>
      </c>
      <c r="H293" s="74">
        <f t="shared" si="22"/>
        <v>0</v>
      </c>
      <c r="I293" s="75">
        <f t="shared" si="23"/>
        <v>0</v>
      </c>
      <c r="J293" s="76">
        <f t="shared" si="24"/>
        <v>0</v>
      </c>
    </row>
    <row r="294" spans="6:10" ht="21.95" customHeight="1">
      <c r="F294" s="72">
        <f t="shared" si="20"/>
        <v>0</v>
      </c>
      <c r="G294" s="73">
        <f t="shared" si="21"/>
        <v>0</v>
      </c>
      <c r="H294" s="74">
        <f t="shared" si="22"/>
        <v>0</v>
      </c>
      <c r="I294" s="75">
        <f t="shared" si="23"/>
        <v>0</v>
      </c>
      <c r="J294" s="76">
        <f t="shared" si="24"/>
        <v>0</v>
      </c>
    </row>
    <row r="295" spans="6:10" ht="21.95" customHeight="1">
      <c r="F295" s="72">
        <f t="shared" si="20"/>
        <v>0</v>
      </c>
      <c r="G295" s="73">
        <f t="shared" si="21"/>
        <v>0</v>
      </c>
      <c r="H295" s="74">
        <f t="shared" si="22"/>
        <v>0</v>
      </c>
      <c r="I295" s="75">
        <f t="shared" si="23"/>
        <v>0</v>
      </c>
      <c r="J295" s="76">
        <f t="shared" si="24"/>
        <v>0</v>
      </c>
    </row>
    <row r="296" spans="6:10" ht="21.95" customHeight="1">
      <c r="F296" s="72">
        <f t="shared" si="20"/>
        <v>0</v>
      </c>
      <c r="G296" s="73">
        <f t="shared" si="21"/>
        <v>0</v>
      </c>
      <c r="H296" s="74">
        <f t="shared" si="22"/>
        <v>0</v>
      </c>
      <c r="I296" s="75">
        <f t="shared" si="23"/>
        <v>0</v>
      </c>
      <c r="J296" s="76">
        <f t="shared" si="24"/>
        <v>0</v>
      </c>
    </row>
    <row r="297" spans="6:10" ht="21.95" customHeight="1">
      <c r="F297" s="72">
        <f t="shared" si="20"/>
        <v>0</v>
      </c>
      <c r="G297" s="73">
        <f t="shared" si="21"/>
        <v>0</v>
      </c>
      <c r="H297" s="74">
        <f t="shared" si="22"/>
        <v>0</v>
      </c>
      <c r="I297" s="75">
        <f t="shared" si="23"/>
        <v>0</v>
      </c>
      <c r="J297" s="76">
        <f t="shared" si="24"/>
        <v>0</v>
      </c>
    </row>
    <row r="298" spans="6:10" ht="21.95" customHeight="1">
      <c r="F298" s="72">
        <f t="shared" si="20"/>
        <v>0</v>
      </c>
      <c r="G298" s="73">
        <f t="shared" si="21"/>
        <v>0</v>
      </c>
      <c r="H298" s="74">
        <f t="shared" si="22"/>
        <v>0</v>
      </c>
      <c r="I298" s="75">
        <f t="shared" si="23"/>
        <v>0</v>
      </c>
      <c r="J298" s="76">
        <f t="shared" si="24"/>
        <v>0</v>
      </c>
    </row>
    <row r="299" spans="6:10" ht="21.95" customHeight="1">
      <c r="F299" s="72">
        <f t="shared" si="20"/>
        <v>0</v>
      </c>
      <c r="G299" s="73">
        <f t="shared" si="21"/>
        <v>0</v>
      </c>
      <c r="H299" s="74">
        <f t="shared" si="22"/>
        <v>0</v>
      </c>
      <c r="I299" s="75">
        <f t="shared" si="23"/>
        <v>0</v>
      </c>
      <c r="J299" s="76">
        <f t="shared" si="24"/>
        <v>0</v>
      </c>
    </row>
    <row r="300" spans="6:10" ht="21.95" customHeight="1">
      <c r="F300" s="72">
        <f t="shared" si="20"/>
        <v>0</v>
      </c>
      <c r="G300" s="73">
        <f t="shared" si="21"/>
        <v>0</v>
      </c>
      <c r="H300" s="74">
        <f t="shared" si="22"/>
        <v>0</v>
      </c>
      <c r="I300" s="75">
        <f t="shared" si="23"/>
        <v>0</v>
      </c>
      <c r="J300" s="76">
        <f t="shared" si="24"/>
        <v>0</v>
      </c>
    </row>
    <row r="301" spans="6:10" ht="21.95" customHeight="1">
      <c r="F301" s="72">
        <f t="shared" si="20"/>
        <v>0</v>
      </c>
      <c r="G301" s="73">
        <f t="shared" si="21"/>
        <v>0</v>
      </c>
      <c r="H301" s="74">
        <f t="shared" si="22"/>
        <v>0</v>
      </c>
      <c r="I301" s="75">
        <f t="shared" si="23"/>
        <v>0</v>
      </c>
      <c r="J301" s="76">
        <f t="shared" si="24"/>
        <v>0</v>
      </c>
    </row>
    <row r="302" spans="6:10" ht="21.95" customHeight="1">
      <c r="F302" s="72">
        <f t="shared" si="20"/>
        <v>0</v>
      </c>
      <c r="G302" s="73">
        <f t="shared" si="21"/>
        <v>0</v>
      </c>
      <c r="H302" s="74">
        <f t="shared" si="22"/>
        <v>0</v>
      </c>
      <c r="I302" s="75">
        <f t="shared" si="23"/>
        <v>0</v>
      </c>
      <c r="J302" s="76">
        <f t="shared" si="24"/>
        <v>0</v>
      </c>
    </row>
    <row r="303" spans="6:10" ht="21.95" customHeight="1">
      <c r="F303" s="72">
        <f t="shared" si="20"/>
        <v>0</v>
      </c>
      <c r="G303" s="73">
        <f t="shared" si="21"/>
        <v>0</v>
      </c>
      <c r="H303" s="74">
        <f t="shared" si="22"/>
        <v>0</v>
      </c>
      <c r="I303" s="75">
        <f t="shared" si="23"/>
        <v>0</v>
      </c>
      <c r="J303" s="76">
        <f t="shared" si="24"/>
        <v>0</v>
      </c>
    </row>
    <row r="304" spans="6:10" ht="21.95" customHeight="1">
      <c r="F304" s="72">
        <f t="shared" si="20"/>
        <v>0</v>
      </c>
      <c r="G304" s="73">
        <f t="shared" si="21"/>
        <v>0</v>
      </c>
      <c r="H304" s="74">
        <f t="shared" si="22"/>
        <v>0</v>
      </c>
      <c r="I304" s="75">
        <f t="shared" si="23"/>
        <v>0</v>
      </c>
      <c r="J304" s="76">
        <f t="shared" si="24"/>
        <v>0</v>
      </c>
    </row>
    <row r="305" spans="6:10" ht="21.95" customHeight="1">
      <c r="F305" s="72">
        <f t="shared" si="20"/>
        <v>0</v>
      </c>
      <c r="G305" s="73">
        <f t="shared" si="21"/>
        <v>0</v>
      </c>
      <c r="H305" s="74">
        <f t="shared" si="22"/>
        <v>0</v>
      </c>
      <c r="I305" s="75">
        <f t="shared" si="23"/>
        <v>0</v>
      </c>
      <c r="J305" s="76">
        <f t="shared" si="24"/>
        <v>0</v>
      </c>
    </row>
    <row r="306" spans="6:10" ht="21.95" customHeight="1">
      <c r="F306" s="72">
        <f t="shared" si="20"/>
        <v>0</v>
      </c>
      <c r="G306" s="73">
        <f t="shared" si="21"/>
        <v>0</v>
      </c>
      <c r="H306" s="74">
        <f t="shared" si="22"/>
        <v>0</v>
      </c>
      <c r="I306" s="75">
        <f t="shared" si="23"/>
        <v>0</v>
      </c>
      <c r="J306" s="76">
        <f t="shared" si="24"/>
        <v>0</v>
      </c>
    </row>
    <row r="307" spans="6:10" ht="21.95" customHeight="1">
      <c r="F307" s="72">
        <f t="shared" si="20"/>
        <v>0</v>
      </c>
      <c r="G307" s="73">
        <f t="shared" si="21"/>
        <v>0</v>
      </c>
      <c r="H307" s="74">
        <f t="shared" si="22"/>
        <v>0</v>
      </c>
      <c r="I307" s="75">
        <f t="shared" si="23"/>
        <v>0</v>
      </c>
      <c r="J307" s="76">
        <f t="shared" si="24"/>
        <v>0</v>
      </c>
    </row>
    <row r="308" spans="6:10" ht="21.95" customHeight="1">
      <c r="F308" s="72">
        <f t="shared" si="20"/>
        <v>0</v>
      </c>
      <c r="G308" s="73">
        <f t="shared" si="21"/>
        <v>0</v>
      </c>
      <c r="H308" s="74">
        <f t="shared" si="22"/>
        <v>0</v>
      </c>
      <c r="I308" s="75">
        <f t="shared" si="23"/>
        <v>0</v>
      </c>
      <c r="J308" s="76">
        <f t="shared" si="24"/>
        <v>0</v>
      </c>
    </row>
    <row r="309" spans="6:10" ht="21.95" customHeight="1">
      <c r="F309" s="72">
        <f t="shared" si="20"/>
        <v>0</v>
      </c>
      <c r="G309" s="73">
        <f t="shared" si="21"/>
        <v>0</v>
      </c>
      <c r="H309" s="74">
        <f t="shared" si="22"/>
        <v>0</v>
      </c>
      <c r="I309" s="75">
        <f t="shared" si="23"/>
        <v>0</v>
      </c>
      <c r="J309" s="76">
        <f t="shared" si="24"/>
        <v>0</v>
      </c>
    </row>
    <row r="310" spans="6:10" ht="21.95" customHeight="1">
      <c r="F310" s="72">
        <f t="shared" si="20"/>
        <v>0</v>
      </c>
      <c r="G310" s="73">
        <f t="shared" si="21"/>
        <v>0</v>
      </c>
      <c r="H310" s="74">
        <f t="shared" si="22"/>
        <v>0</v>
      </c>
      <c r="I310" s="75">
        <f t="shared" si="23"/>
        <v>0</v>
      </c>
      <c r="J310" s="76">
        <f t="shared" si="24"/>
        <v>0</v>
      </c>
    </row>
    <row r="311" spans="6:10" ht="21.95" customHeight="1">
      <c r="F311" s="72">
        <f t="shared" si="20"/>
        <v>0</v>
      </c>
      <c r="G311" s="73">
        <f t="shared" si="21"/>
        <v>0</v>
      </c>
      <c r="H311" s="74">
        <f t="shared" si="22"/>
        <v>0</v>
      </c>
      <c r="I311" s="75">
        <f t="shared" si="23"/>
        <v>0</v>
      </c>
      <c r="J311" s="76">
        <f t="shared" si="24"/>
        <v>0</v>
      </c>
    </row>
    <row r="312" spans="6:10" ht="21.95" customHeight="1">
      <c r="F312" s="72">
        <f t="shared" si="20"/>
        <v>0</v>
      </c>
      <c r="G312" s="73">
        <f t="shared" si="21"/>
        <v>0</v>
      </c>
      <c r="H312" s="74">
        <f t="shared" si="22"/>
        <v>0</v>
      </c>
      <c r="I312" s="75">
        <f t="shared" si="23"/>
        <v>0</v>
      </c>
      <c r="J312" s="76">
        <f t="shared" si="24"/>
        <v>0</v>
      </c>
    </row>
    <row r="313" spans="6:10" ht="21.95" customHeight="1">
      <c r="F313" s="72">
        <f t="shared" si="20"/>
        <v>0</v>
      </c>
      <c r="G313" s="73">
        <f t="shared" si="21"/>
        <v>0</v>
      </c>
      <c r="H313" s="74">
        <f t="shared" si="22"/>
        <v>0</v>
      </c>
      <c r="I313" s="75">
        <f t="shared" si="23"/>
        <v>0</v>
      </c>
      <c r="J313" s="76">
        <f t="shared" si="24"/>
        <v>0</v>
      </c>
    </row>
    <row r="314" spans="6:10" ht="21.95" customHeight="1">
      <c r="F314" s="72">
        <f t="shared" si="20"/>
        <v>0</v>
      </c>
      <c r="G314" s="73">
        <f t="shared" si="21"/>
        <v>0</v>
      </c>
      <c r="H314" s="74">
        <f t="shared" si="22"/>
        <v>0</v>
      </c>
      <c r="I314" s="75">
        <f t="shared" si="23"/>
        <v>0</v>
      </c>
      <c r="J314" s="76">
        <f t="shared" si="24"/>
        <v>0</v>
      </c>
    </row>
    <row r="315" spans="6:10" ht="21.95" customHeight="1">
      <c r="F315" s="72">
        <f t="shared" si="20"/>
        <v>0</v>
      </c>
      <c r="G315" s="73">
        <f t="shared" si="21"/>
        <v>0</v>
      </c>
      <c r="H315" s="74">
        <f t="shared" si="22"/>
        <v>0</v>
      </c>
      <c r="I315" s="75">
        <f t="shared" si="23"/>
        <v>0</v>
      </c>
      <c r="J315" s="76">
        <f t="shared" si="24"/>
        <v>0</v>
      </c>
    </row>
    <row r="316" spans="6:10" ht="21.95" customHeight="1">
      <c r="F316" s="72">
        <f t="shared" si="20"/>
        <v>0</v>
      </c>
      <c r="G316" s="73">
        <f t="shared" si="21"/>
        <v>0</v>
      </c>
      <c r="H316" s="74">
        <f t="shared" si="22"/>
        <v>0</v>
      </c>
      <c r="I316" s="75">
        <f t="shared" si="23"/>
        <v>0</v>
      </c>
      <c r="J316" s="76">
        <f t="shared" si="24"/>
        <v>0</v>
      </c>
    </row>
    <row r="317" spans="6:10" ht="21.95" customHeight="1">
      <c r="F317" s="72">
        <f t="shared" si="20"/>
        <v>0</v>
      </c>
      <c r="G317" s="73">
        <f t="shared" si="21"/>
        <v>0</v>
      </c>
      <c r="H317" s="74">
        <f t="shared" si="22"/>
        <v>0</v>
      </c>
      <c r="I317" s="75">
        <f t="shared" si="23"/>
        <v>0</v>
      </c>
      <c r="J317" s="76">
        <f t="shared" si="24"/>
        <v>0</v>
      </c>
    </row>
    <row r="318" spans="6:10" ht="21.95" customHeight="1">
      <c r="F318" s="72">
        <f t="shared" si="20"/>
        <v>0</v>
      </c>
      <c r="G318" s="73">
        <f t="shared" si="21"/>
        <v>0</v>
      </c>
      <c r="H318" s="74">
        <f t="shared" si="22"/>
        <v>0</v>
      </c>
      <c r="I318" s="75">
        <f t="shared" si="23"/>
        <v>0</v>
      </c>
      <c r="J318" s="76">
        <f t="shared" si="24"/>
        <v>0</v>
      </c>
    </row>
    <row r="319" spans="6:10" ht="21.95" customHeight="1">
      <c r="F319" s="72">
        <f t="shared" si="20"/>
        <v>0</v>
      </c>
      <c r="G319" s="73">
        <f t="shared" si="21"/>
        <v>0</v>
      </c>
      <c r="H319" s="74">
        <f t="shared" si="22"/>
        <v>0</v>
      </c>
      <c r="I319" s="75">
        <f t="shared" si="23"/>
        <v>0</v>
      </c>
      <c r="J319" s="76">
        <f t="shared" si="24"/>
        <v>0</v>
      </c>
    </row>
    <row r="320" spans="6:10" ht="21.95" customHeight="1">
      <c r="F320" s="72">
        <f t="shared" si="20"/>
        <v>0</v>
      </c>
      <c r="G320" s="73">
        <f t="shared" si="21"/>
        <v>0</v>
      </c>
      <c r="H320" s="74">
        <f t="shared" si="22"/>
        <v>0</v>
      </c>
      <c r="I320" s="75">
        <f t="shared" si="23"/>
        <v>0</v>
      </c>
      <c r="J320" s="76">
        <f t="shared" si="24"/>
        <v>0</v>
      </c>
    </row>
    <row r="321" spans="6:10" ht="21.95" customHeight="1">
      <c r="F321" s="72">
        <f t="shared" si="20"/>
        <v>0</v>
      </c>
      <c r="G321" s="73">
        <f t="shared" si="21"/>
        <v>0</v>
      </c>
      <c r="H321" s="74">
        <f t="shared" si="22"/>
        <v>0</v>
      </c>
      <c r="I321" s="75">
        <f t="shared" si="23"/>
        <v>0</v>
      </c>
      <c r="J321" s="76">
        <f t="shared" si="24"/>
        <v>0</v>
      </c>
    </row>
    <row r="322" spans="6:10" ht="21.95" customHeight="1">
      <c r="F322" s="72">
        <f t="shared" si="20"/>
        <v>0</v>
      </c>
      <c r="G322" s="73">
        <f t="shared" si="21"/>
        <v>0</v>
      </c>
      <c r="H322" s="74">
        <f t="shared" si="22"/>
        <v>0</v>
      </c>
      <c r="I322" s="75">
        <f t="shared" si="23"/>
        <v>0</v>
      </c>
      <c r="J322" s="76">
        <f t="shared" si="24"/>
        <v>0</v>
      </c>
    </row>
    <row r="323" spans="6:10" ht="21.95" customHeight="1">
      <c r="F323" s="72">
        <f t="shared" ref="F323:F386" si="25">COUNTIF(L323:AA323,2)*15/60+COUNTIF(AF323:AU323,2)*15/60+COUNTIF(AX323:BS323,4)*15/60</f>
        <v>0</v>
      </c>
      <c r="G323" s="73">
        <f t="shared" ref="G323:G386" si="26">COUNTIF(L323:AA323,2)*15/60 + COUNTIF(AF323:AU323,2)*15/60 + COUNTIF(L323:AA323,3)*15/60 + COUNTIF(AF323:AU323,3)*15/60 + COUNTIF(AX323:BS323,4)*15/60</f>
        <v>0</v>
      </c>
      <c r="H323" s="74">
        <f t="shared" ref="H323:H386" si="27">F323-G323</f>
        <v>0</v>
      </c>
      <c r="I323" s="75">
        <f t="shared" ref="I323:I386" si="28">COUNTIF(AX323:BS323,4)*15/60</f>
        <v>0</v>
      </c>
      <c r="J323" s="76">
        <f t="shared" ref="J323:J386" si="29">COUNTIF(L323:AA323,5)*15/60 + COUNTIF(AF323:AU323,5)*15/60</f>
        <v>0</v>
      </c>
    </row>
    <row r="324" spans="6:10" ht="21.95" customHeight="1">
      <c r="F324" s="72">
        <f t="shared" si="25"/>
        <v>0</v>
      </c>
      <c r="G324" s="73">
        <f t="shared" si="26"/>
        <v>0</v>
      </c>
      <c r="H324" s="74">
        <f t="shared" si="27"/>
        <v>0</v>
      </c>
      <c r="I324" s="75">
        <f t="shared" si="28"/>
        <v>0</v>
      </c>
      <c r="J324" s="76">
        <f t="shared" si="29"/>
        <v>0</v>
      </c>
    </row>
    <row r="325" spans="6:10" ht="21.95" customHeight="1">
      <c r="F325" s="72">
        <f t="shared" si="25"/>
        <v>0</v>
      </c>
      <c r="G325" s="73">
        <f t="shared" si="26"/>
        <v>0</v>
      </c>
      <c r="H325" s="74">
        <f t="shared" si="27"/>
        <v>0</v>
      </c>
      <c r="I325" s="75">
        <f t="shared" si="28"/>
        <v>0</v>
      </c>
      <c r="J325" s="76">
        <f t="shared" si="29"/>
        <v>0</v>
      </c>
    </row>
    <row r="326" spans="6:10" ht="21.95" customHeight="1">
      <c r="F326" s="72">
        <f t="shared" si="25"/>
        <v>0</v>
      </c>
      <c r="G326" s="73">
        <f t="shared" si="26"/>
        <v>0</v>
      </c>
      <c r="H326" s="74">
        <f t="shared" si="27"/>
        <v>0</v>
      </c>
      <c r="I326" s="75">
        <f t="shared" si="28"/>
        <v>0</v>
      </c>
      <c r="J326" s="76">
        <f t="shared" si="29"/>
        <v>0</v>
      </c>
    </row>
    <row r="327" spans="6:10" ht="21.95" customHeight="1">
      <c r="F327" s="72">
        <f t="shared" si="25"/>
        <v>0</v>
      </c>
      <c r="G327" s="73">
        <f t="shared" si="26"/>
        <v>0</v>
      </c>
      <c r="H327" s="74">
        <f t="shared" si="27"/>
        <v>0</v>
      </c>
      <c r="I327" s="75">
        <f t="shared" si="28"/>
        <v>0</v>
      </c>
      <c r="J327" s="76">
        <f t="shared" si="29"/>
        <v>0</v>
      </c>
    </row>
    <row r="328" spans="6:10" ht="21.95" customHeight="1">
      <c r="F328" s="72">
        <f t="shared" si="25"/>
        <v>0</v>
      </c>
      <c r="G328" s="73">
        <f t="shared" si="26"/>
        <v>0</v>
      </c>
      <c r="H328" s="74">
        <f t="shared" si="27"/>
        <v>0</v>
      </c>
      <c r="I328" s="75">
        <f t="shared" si="28"/>
        <v>0</v>
      </c>
      <c r="J328" s="76">
        <f t="shared" si="29"/>
        <v>0</v>
      </c>
    </row>
    <row r="329" spans="6:10" ht="21.95" customHeight="1">
      <c r="F329" s="72">
        <f t="shared" si="25"/>
        <v>0</v>
      </c>
      <c r="G329" s="73">
        <f t="shared" si="26"/>
        <v>0</v>
      </c>
      <c r="H329" s="74">
        <f t="shared" si="27"/>
        <v>0</v>
      </c>
      <c r="I329" s="75">
        <f t="shared" si="28"/>
        <v>0</v>
      </c>
      <c r="J329" s="76">
        <f t="shared" si="29"/>
        <v>0</v>
      </c>
    </row>
    <row r="330" spans="6:10" ht="21.95" customHeight="1">
      <c r="F330" s="72">
        <f t="shared" si="25"/>
        <v>0</v>
      </c>
      <c r="G330" s="73">
        <f t="shared" si="26"/>
        <v>0</v>
      </c>
      <c r="H330" s="74">
        <f t="shared" si="27"/>
        <v>0</v>
      </c>
      <c r="I330" s="75">
        <f t="shared" si="28"/>
        <v>0</v>
      </c>
      <c r="J330" s="76">
        <f t="shared" si="29"/>
        <v>0</v>
      </c>
    </row>
    <row r="331" spans="6:10" ht="21.95" customHeight="1">
      <c r="F331" s="72">
        <f t="shared" si="25"/>
        <v>0</v>
      </c>
      <c r="G331" s="73">
        <f t="shared" si="26"/>
        <v>0</v>
      </c>
      <c r="H331" s="74">
        <f t="shared" si="27"/>
        <v>0</v>
      </c>
      <c r="I331" s="75">
        <f t="shared" si="28"/>
        <v>0</v>
      </c>
      <c r="J331" s="76">
        <f t="shared" si="29"/>
        <v>0</v>
      </c>
    </row>
    <row r="332" spans="6:10" ht="21.95" customHeight="1">
      <c r="F332" s="72">
        <f t="shared" si="25"/>
        <v>0</v>
      </c>
      <c r="G332" s="73">
        <f t="shared" si="26"/>
        <v>0</v>
      </c>
      <c r="H332" s="74">
        <f t="shared" si="27"/>
        <v>0</v>
      </c>
      <c r="I332" s="75">
        <f t="shared" si="28"/>
        <v>0</v>
      </c>
      <c r="J332" s="76">
        <f t="shared" si="29"/>
        <v>0</v>
      </c>
    </row>
    <row r="333" spans="6:10" ht="21.95" customHeight="1">
      <c r="F333" s="72">
        <f t="shared" si="25"/>
        <v>0</v>
      </c>
      <c r="G333" s="73">
        <f t="shared" si="26"/>
        <v>0</v>
      </c>
      <c r="H333" s="74">
        <f t="shared" si="27"/>
        <v>0</v>
      </c>
      <c r="I333" s="75">
        <f t="shared" si="28"/>
        <v>0</v>
      </c>
      <c r="J333" s="76">
        <f t="shared" si="29"/>
        <v>0</v>
      </c>
    </row>
    <row r="334" spans="6:10" ht="21.95" customHeight="1">
      <c r="F334" s="72">
        <f t="shared" si="25"/>
        <v>0</v>
      </c>
      <c r="G334" s="73">
        <f t="shared" si="26"/>
        <v>0</v>
      </c>
      <c r="H334" s="74">
        <f t="shared" si="27"/>
        <v>0</v>
      </c>
      <c r="I334" s="75">
        <f t="shared" si="28"/>
        <v>0</v>
      </c>
      <c r="J334" s="76">
        <f t="shared" si="29"/>
        <v>0</v>
      </c>
    </row>
    <row r="335" spans="6:10" ht="21.95" customHeight="1">
      <c r="F335" s="72">
        <f t="shared" si="25"/>
        <v>0</v>
      </c>
      <c r="G335" s="73">
        <f t="shared" si="26"/>
        <v>0</v>
      </c>
      <c r="H335" s="74">
        <f t="shared" si="27"/>
        <v>0</v>
      </c>
      <c r="I335" s="75">
        <f t="shared" si="28"/>
        <v>0</v>
      </c>
      <c r="J335" s="76">
        <f t="shared" si="29"/>
        <v>0</v>
      </c>
    </row>
    <row r="336" spans="6:10" ht="21.95" customHeight="1">
      <c r="F336" s="72">
        <f t="shared" si="25"/>
        <v>0</v>
      </c>
      <c r="G336" s="73">
        <f t="shared" si="26"/>
        <v>0</v>
      </c>
      <c r="H336" s="74">
        <f t="shared" si="27"/>
        <v>0</v>
      </c>
      <c r="I336" s="75">
        <f t="shared" si="28"/>
        <v>0</v>
      </c>
      <c r="J336" s="76">
        <f t="shared" si="29"/>
        <v>0</v>
      </c>
    </row>
    <row r="337" spans="6:10" ht="21.95" customHeight="1">
      <c r="F337" s="72">
        <f t="shared" si="25"/>
        <v>0</v>
      </c>
      <c r="G337" s="73">
        <f t="shared" si="26"/>
        <v>0</v>
      </c>
      <c r="H337" s="74">
        <f t="shared" si="27"/>
        <v>0</v>
      </c>
      <c r="I337" s="75">
        <f t="shared" si="28"/>
        <v>0</v>
      </c>
      <c r="J337" s="76">
        <f t="shared" si="29"/>
        <v>0</v>
      </c>
    </row>
    <row r="338" spans="6:10" ht="21.95" customHeight="1">
      <c r="F338" s="72">
        <f t="shared" si="25"/>
        <v>0</v>
      </c>
      <c r="G338" s="73">
        <f t="shared" si="26"/>
        <v>0</v>
      </c>
      <c r="H338" s="74">
        <f t="shared" si="27"/>
        <v>0</v>
      </c>
      <c r="I338" s="75">
        <f t="shared" si="28"/>
        <v>0</v>
      </c>
      <c r="J338" s="76">
        <f t="shared" si="29"/>
        <v>0</v>
      </c>
    </row>
    <row r="339" spans="6:10" ht="21.95" customHeight="1">
      <c r="F339" s="72">
        <f t="shared" si="25"/>
        <v>0</v>
      </c>
      <c r="G339" s="73">
        <f t="shared" si="26"/>
        <v>0</v>
      </c>
      <c r="H339" s="74">
        <f t="shared" si="27"/>
        <v>0</v>
      </c>
      <c r="I339" s="75">
        <f t="shared" si="28"/>
        <v>0</v>
      </c>
      <c r="J339" s="76">
        <f t="shared" si="29"/>
        <v>0</v>
      </c>
    </row>
    <row r="340" spans="6:10" ht="21.95" customHeight="1">
      <c r="F340" s="72">
        <f t="shared" si="25"/>
        <v>0</v>
      </c>
      <c r="G340" s="73">
        <f t="shared" si="26"/>
        <v>0</v>
      </c>
      <c r="H340" s="74">
        <f t="shared" si="27"/>
        <v>0</v>
      </c>
      <c r="I340" s="75">
        <f t="shared" si="28"/>
        <v>0</v>
      </c>
      <c r="J340" s="76">
        <f t="shared" si="29"/>
        <v>0</v>
      </c>
    </row>
    <row r="341" spans="6:10" ht="21.95" customHeight="1">
      <c r="F341" s="72">
        <f t="shared" si="25"/>
        <v>0</v>
      </c>
      <c r="G341" s="73">
        <f t="shared" si="26"/>
        <v>0</v>
      </c>
      <c r="H341" s="74">
        <f t="shared" si="27"/>
        <v>0</v>
      </c>
      <c r="I341" s="75">
        <f t="shared" si="28"/>
        <v>0</v>
      </c>
      <c r="J341" s="76">
        <f t="shared" si="29"/>
        <v>0</v>
      </c>
    </row>
    <row r="342" spans="6:10" ht="21.95" customHeight="1">
      <c r="F342" s="72">
        <f t="shared" si="25"/>
        <v>0</v>
      </c>
      <c r="G342" s="73">
        <f t="shared" si="26"/>
        <v>0</v>
      </c>
      <c r="H342" s="74">
        <f t="shared" si="27"/>
        <v>0</v>
      </c>
      <c r="I342" s="75">
        <f t="shared" si="28"/>
        <v>0</v>
      </c>
      <c r="J342" s="76">
        <f t="shared" si="29"/>
        <v>0</v>
      </c>
    </row>
    <row r="343" spans="6:10" ht="21.95" customHeight="1">
      <c r="F343" s="72">
        <f t="shared" si="25"/>
        <v>0</v>
      </c>
      <c r="G343" s="73">
        <f t="shared" si="26"/>
        <v>0</v>
      </c>
      <c r="H343" s="74">
        <f t="shared" si="27"/>
        <v>0</v>
      </c>
      <c r="I343" s="75">
        <f t="shared" si="28"/>
        <v>0</v>
      </c>
      <c r="J343" s="76">
        <f t="shared" si="29"/>
        <v>0</v>
      </c>
    </row>
    <row r="344" spans="6:10" ht="21.95" customHeight="1">
      <c r="F344" s="72">
        <f t="shared" si="25"/>
        <v>0</v>
      </c>
      <c r="G344" s="73">
        <f t="shared" si="26"/>
        <v>0</v>
      </c>
      <c r="H344" s="74">
        <f t="shared" si="27"/>
        <v>0</v>
      </c>
      <c r="I344" s="75">
        <f t="shared" si="28"/>
        <v>0</v>
      </c>
      <c r="J344" s="76">
        <f t="shared" si="29"/>
        <v>0</v>
      </c>
    </row>
    <row r="345" spans="6:10" ht="21.95" customHeight="1">
      <c r="F345" s="72">
        <f t="shared" si="25"/>
        <v>0</v>
      </c>
      <c r="G345" s="73">
        <f t="shared" si="26"/>
        <v>0</v>
      </c>
      <c r="H345" s="74">
        <f t="shared" si="27"/>
        <v>0</v>
      </c>
      <c r="I345" s="75">
        <f t="shared" si="28"/>
        <v>0</v>
      </c>
      <c r="J345" s="76">
        <f t="shared" si="29"/>
        <v>0</v>
      </c>
    </row>
    <row r="346" spans="6:10" ht="21.95" customHeight="1">
      <c r="F346" s="72">
        <f t="shared" si="25"/>
        <v>0</v>
      </c>
      <c r="G346" s="73">
        <f t="shared" si="26"/>
        <v>0</v>
      </c>
      <c r="H346" s="74">
        <f t="shared" si="27"/>
        <v>0</v>
      </c>
      <c r="I346" s="75">
        <f t="shared" si="28"/>
        <v>0</v>
      </c>
      <c r="J346" s="76">
        <f t="shared" si="29"/>
        <v>0</v>
      </c>
    </row>
    <row r="347" spans="6:10" ht="21.95" customHeight="1">
      <c r="F347" s="72">
        <f t="shared" si="25"/>
        <v>0</v>
      </c>
      <c r="G347" s="73">
        <f t="shared" si="26"/>
        <v>0</v>
      </c>
      <c r="H347" s="74">
        <f t="shared" si="27"/>
        <v>0</v>
      </c>
      <c r="I347" s="75">
        <f t="shared" si="28"/>
        <v>0</v>
      </c>
      <c r="J347" s="76">
        <f t="shared" si="29"/>
        <v>0</v>
      </c>
    </row>
    <row r="348" spans="6:10" ht="21.95" customHeight="1">
      <c r="F348" s="72">
        <f t="shared" si="25"/>
        <v>0</v>
      </c>
      <c r="G348" s="73">
        <f t="shared" si="26"/>
        <v>0</v>
      </c>
      <c r="H348" s="74">
        <f t="shared" si="27"/>
        <v>0</v>
      </c>
      <c r="I348" s="75">
        <f t="shared" si="28"/>
        <v>0</v>
      </c>
      <c r="J348" s="76">
        <f t="shared" si="29"/>
        <v>0</v>
      </c>
    </row>
    <row r="349" spans="6:10" ht="21.95" customHeight="1">
      <c r="F349" s="72">
        <f t="shared" si="25"/>
        <v>0</v>
      </c>
      <c r="G349" s="73">
        <f t="shared" si="26"/>
        <v>0</v>
      </c>
      <c r="H349" s="74">
        <f t="shared" si="27"/>
        <v>0</v>
      </c>
      <c r="I349" s="75">
        <f t="shared" si="28"/>
        <v>0</v>
      </c>
      <c r="J349" s="76">
        <f t="shared" si="29"/>
        <v>0</v>
      </c>
    </row>
    <row r="350" spans="6:10" ht="21.95" customHeight="1">
      <c r="F350" s="72">
        <f t="shared" si="25"/>
        <v>0</v>
      </c>
      <c r="G350" s="73">
        <f t="shared" si="26"/>
        <v>0</v>
      </c>
      <c r="H350" s="74">
        <f t="shared" si="27"/>
        <v>0</v>
      </c>
      <c r="I350" s="75">
        <f t="shared" si="28"/>
        <v>0</v>
      </c>
      <c r="J350" s="76">
        <f t="shared" si="29"/>
        <v>0</v>
      </c>
    </row>
    <row r="351" spans="6:10" ht="21.95" customHeight="1">
      <c r="F351" s="72">
        <f t="shared" si="25"/>
        <v>0</v>
      </c>
      <c r="G351" s="73">
        <f t="shared" si="26"/>
        <v>0</v>
      </c>
      <c r="H351" s="74">
        <f t="shared" si="27"/>
        <v>0</v>
      </c>
      <c r="I351" s="75">
        <f t="shared" si="28"/>
        <v>0</v>
      </c>
      <c r="J351" s="76">
        <f t="shared" si="29"/>
        <v>0</v>
      </c>
    </row>
    <row r="352" spans="6:10" ht="21.95" customHeight="1">
      <c r="F352" s="72">
        <f t="shared" si="25"/>
        <v>0</v>
      </c>
      <c r="G352" s="73">
        <f t="shared" si="26"/>
        <v>0</v>
      </c>
      <c r="H352" s="74">
        <f t="shared" si="27"/>
        <v>0</v>
      </c>
      <c r="I352" s="75">
        <f t="shared" si="28"/>
        <v>0</v>
      </c>
      <c r="J352" s="76">
        <f t="shared" si="29"/>
        <v>0</v>
      </c>
    </row>
    <row r="353" spans="6:10" ht="21.95" customHeight="1">
      <c r="F353" s="72">
        <f t="shared" si="25"/>
        <v>0</v>
      </c>
      <c r="G353" s="73">
        <f t="shared" si="26"/>
        <v>0</v>
      </c>
      <c r="H353" s="74">
        <f t="shared" si="27"/>
        <v>0</v>
      </c>
      <c r="I353" s="75">
        <f t="shared" si="28"/>
        <v>0</v>
      </c>
      <c r="J353" s="76">
        <f t="shared" si="29"/>
        <v>0</v>
      </c>
    </row>
    <row r="354" spans="6:10" ht="21.95" customHeight="1">
      <c r="F354" s="72">
        <f t="shared" si="25"/>
        <v>0</v>
      </c>
      <c r="G354" s="73">
        <f t="shared" si="26"/>
        <v>0</v>
      </c>
      <c r="H354" s="74">
        <f t="shared" si="27"/>
        <v>0</v>
      </c>
      <c r="I354" s="75">
        <f t="shared" si="28"/>
        <v>0</v>
      </c>
      <c r="J354" s="76">
        <f t="shared" si="29"/>
        <v>0</v>
      </c>
    </row>
    <row r="355" spans="6:10" ht="21.95" customHeight="1">
      <c r="F355" s="72">
        <f t="shared" si="25"/>
        <v>0</v>
      </c>
      <c r="G355" s="73">
        <f t="shared" si="26"/>
        <v>0</v>
      </c>
      <c r="H355" s="74">
        <f t="shared" si="27"/>
        <v>0</v>
      </c>
      <c r="I355" s="75">
        <f t="shared" si="28"/>
        <v>0</v>
      </c>
      <c r="J355" s="76">
        <f t="shared" si="29"/>
        <v>0</v>
      </c>
    </row>
    <row r="356" spans="6:10" ht="21.95" customHeight="1">
      <c r="F356" s="72">
        <f t="shared" si="25"/>
        <v>0</v>
      </c>
      <c r="G356" s="73">
        <f t="shared" si="26"/>
        <v>0</v>
      </c>
      <c r="H356" s="74">
        <f t="shared" si="27"/>
        <v>0</v>
      </c>
      <c r="I356" s="75">
        <f t="shared" si="28"/>
        <v>0</v>
      </c>
      <c r="J356" s="76">
        <f t="shared" si="29"/>
        <v>0</v>
      </c>
    </row>
    <row r="357" spans="6:10" ht="21.95" customHeight="1">
      <c r="F357" s="72">
        <f t="shared" si="25"/>
        <v>0</v>
      </c>
      <c r="G357" s="73">
        <f t="shared" si="26"/>
        <v>0</v>
      </c>
      <c r="H357" s="74">
        <f t="shared" si="27"/>
        <v>0</v>
      </c>
      <c r="I357" s="75">
        <f t="shared" si="28"/>
        <v>0</v>
      </c>
      <c r="J357" s="76">
        <f t="shared" si="29"/>
        <v>0</v>
      </c>
    </row>
    <row r="358" spans="6:10" ht="21.95" customHeight="1">
      <c r="F358" s="72">
        <f t="shared" si="25"/>
        <v>0</v>
      </c>
      <c r="G358" s="73">
        <f t="shared" si="26"/>
        <v>0</v>
      </c>
      <c r="H358" s="74">
        <f t="shared" si="27"/>
        <v>0</v>
      </c>
      <c r="I358" s="75">
        <f t="shared" si="28"/>
        <v>0</v>
      </c>
      <c r="J358" s="76">
        <f t="shared" si="29"/>
        <v>0</v>
      </c>
    </row>
    <row r="359" spans="6:10" ht="21.95" customHeight="1">
      <c r="F359" s="72">
        <f t="shared" si="25"/>
        <v>0</v>
      </c>
      <c r="G359" s="73">
        <f t="shared" si="26"/>
        <v>0</v>
      </c>
      <c r="H359" s="74">
        <f t="shared" si="27"/>
        <v>0</v>
      </c>
      <c r="I359" s="75">
        <f t="shared" si="28"/>
        <v>0</v>
      </c>
      <c r="J359" s="76">
        <f t="shared" si="29"/>
        <v>0</v>
      </c>
    </row>
    <row r="360" spans="6:10" ht="21.95" customHeight="1">
      <c r="F360" s="72">
        <f t="shared" si="25"/>
        <v>0</v>
      </c>
      <c r="G360" s="73">
        <f t="shared" si="26"/>
        <v>0</v>
      </c>
      <c r="H360" s="74">
        <f t="shared" si="27"/>
        <v>0</v>
      </c>
      <c r="I360" s="75">
        <f t="shared" si="28"/>
        <v>0</v>
      </c>
      <c r="J360" s="76">
        <f t="shared" si="29"/>
        <v>0</v>
      </c>
    </row>
    <row r="361" spans="6:10" ht="21.95" customHeight="1">
      <c r="F361" s="72">
        <f t="shared" si="25"/>
        <v>0</v>
      </c>
      <c r="G361" s="73">
        <f t="shared" si="26"/>
        <v>0</v>
      </c>
      <c r="H361" s="74">
        <f t="shared" si="27"/>
        <v>0</v>
      </c>
      <c r="I361" s="75">
        <f t="shared" si="28"/>
        <v>0</v>
      </c>
      <c r="J361" s="76">
        <f t="shared" si="29"/>
        <v>0</v>
      </c>
    </row>
    <row r="362" spans="6:10" ht="21.95" customHeight="1">
      <c r="F362" s="72">
        <f t="shared" si="25"/>
        <v>0</v>
      </c>
      <c r="G362" s="73">
        <f t="shared" si="26"/>
        <v>0</v>
      </c>
      <c r="H362" s="74">
        <f t="shared" si="27"/>
        <v>0</v>
      </c>
      <c r="I362" s="75">
        <f t="shared" si="28"/>
        <v>0</v>
      </c>
      <c r="J362" s="76">
        <f t="shared" si="29"/>
        <v>0</v>
      </c>
    </row>
    <row r="363" spans="6:10" ht="21.95" customHeight="1">
      <c r="F363" s="72">
        <f t="shared" si="25"/>
        <v>0</v>
      </c>
      <c r="G363" s="73">
        <f t="shared" si="26"/>
        <v>0</v>
      </c>
      <c r="H363" s="74">
        <f t="shared" si="27"/>
        <v>0</v>
      </c>
      <c r="I363" s="75">
        <f t="shared" si="28"/>
        <v>0</v>
      </c>
      <c r="J363" s="76">
        <f t="shared" si="29"/>
        <v>0</v>
      </c>
    </row>
    <row r="364" spans="6:10" ht="21.95" customHeight="1">
      <c r="F364" s="72">
        <f t="shared" si="25"/>
        <v>0</v>
      </c>
      <c r="G364" s="73">
        <f t="shared" si="26"/>
        <v>0</v>
      </c>
      <c r="H364" s="74">
        <f t="shared" si="27"/>
        <v>0</v>
      </c>
      <c r="I364" s="75">
        <f t="shared" si="28"/>
        <v>0</v>
      </c>
      <c r="J364" s="76">
        <f t="shared" si="29"/>
        <v>0</v>
      </c>
    </row>
    <row r="365" spans="6:10" ht="21.95" customHeight="1">
      <c r="F365" s="72">
        <f t="shared" si="25"/>
        <v>0</v>
      </c>
      <c r="G365" s="73">
        <f t="shared" si="26"/>
        <v>0</v>
      </c>
      <c r="H365" s="74">
        <f t="shared" si="27"/>
        <v>0</v>
      </c>
      <c r="I365" s="75">
        <f t="shared" si="28"/>
        <v>0</v>
      </c>
      <c r="J365" s="76">
        <f t="shared" si="29"/>
        <v>0</v>
      </c>
    </row>
    <row r="366" spans="6:10" ht="21.95" customHeight="1">
      <c r="F366" s="72">
        <f t="shared" si="25"/>
        <v>0</v>
      </c>
      <c r="G366" s="73">
        <f t="shared" si="26"/>
        <v>0</v>
      </c>
      <c r="H366" s="74">
        <f t="shared" si="27"/>
        <v>0</v>
      </c>
      <c r="I366" s="75">
        <f t="shared" si="28"/>
        <v>0</v>
      </c>
      <c r="J366" s="76">
        <f t="shared" si="29"/>
        <v>0</v>
      </c>
    </row>
    <row r="367" spans="6:10" ht="21.95" customHeight="1">
      <c r="F367" s="72">
        <f t="shared" si="25"/>
        <v>0</v>
      </c>
      <c r="G367" s="73">
        <f t="shared" si="26"/>
        <v>0</v>
      </c>
      <c r="H367" s="74">
        <f t="shared" si="27"/>
        <v>0</v>
      </c>
      <c r="I367" s="75">
        <f t="shared" si="28"/>
        <v>0</v>
      </c>
      <c r="J367" s="76">
        <f t="shared" si="29"/>
        <v>0</v>
      </c>
    </row>
    <row r="368" spans="6:10" ht="21.95" customHeight="1">
      <c r="F368" s="72">
        <f t="shared" si="25"/>
        <v>0</v>
      </c>
      <c r="G368" s="73">
        <f t="shared" si="26"/>
        <v>0</v>
      </c>
      <c r="H368" s="74">
        <f t="shared" si="27"/>
        <v>0</v>
      </c>
      <c r="I368" s="75">
        <f t="shared" si="28"/>
        <v>0</v>
      </c>
      <c r="J368" s="76">
        <f t="shared" si="29"/>
        <v>0</v>
      </c>
    </row>
    <row r="369" spans="6:10" ht="21.95" customHeight="1">
      <c r="F369" s="72">
        <f t="shared" si="25"/>
        <v>0</v>
      </c>
      <c r="G369" s="73">
        <f t="shared" si="26"/>
        <v>0</v>
      </c>
      <c r="H369" s="74">
        <f t="shared" si="27"/>
        <v>0</v>
      </c>
      <c r="I369" s="75">
        <f t="shared" si="28"/>
        <v>0</v>
      </c>
      <c r="J369" s="76">
        <f t="shared" si="29"/>
        <v>0</v>
      </c>
    </row>
    <row r="370" spans="6:10" ht="21.95" customHeight="1">
      <c r="F370" s="72">
        <f t="shared" si="25"/>
        <v>0</v>
      </c>
      <c r="G370" s="73">
        <f t="shared" si="26"/>
        <v>0</v>
      </c>
      <c r="H370" s="74">
        <f t="shared" si="27"/>
        <v>0</v>
      </c>
      <c r="I370" s="75">
        <f t="shared" si="28"/>
        <v>0</v>
      </c>
      <c r="J370" s="76">
        <f t="shared" si="29"/>
        <v>0</v>
      </c>
    </row>
    <row r="371" spans="6:10" ht="21.95" customHeight="1">
      <c r="F371" s="72">
        <f t="shared" si="25"/>
        <v>0</v>
      </c>
      <c r="G371" s="73">
        <f t="shared" si="26"/>
        <v>0</v>
      </c>
      <c r="H371" s="74">
        <f t="shared" si="27"/>
        <v>0</v>
      </c>
      <c r="I371" s="75">
        <f t="shared" si="28"/>
        <v>0</v>
      </c>
      <c r="J371" s="76">
        <f t="shared" si="29"/>
        <v>0</v>
      </c>
    </row>
    <row r="372" spans="6:10" ht="21.95" customHeight="1">
      <c r="F372" s="72">
        <f t="shared" si="25"/>
        <v>0</v>
      </c>
      <c r="G372" s="73">
        <f t="shared" si="26"/>
        <v>0</v>
      </c>
      <c r="H372" s="74">
        <f t="shared" si="27"/>
        <v>0</v>
      </c>
      <c r="I372" s="75">
        <f t="shared" si="28"/>
        <v>0</v>
      </c>
      <c r="J372" s="76">
        <f t="shared" si="29"/>
        <v>0</v>
      </c>
    </row>
    <row r="373" spans="6:10" ht="21.95" customHeight="1">
      <c r="F373" s="72">
        <f t="shared" si="25"/>
        <v>0</v>
      </c>
      <c r="G373" s="73">
        <f t="shared" si="26"/>
        <v>0</v>
      </c>
      <c r="H373" s="74">
        <f t="shared" si="27"/>
        <v>0</v>
      </c>
      <c r="I373" s="75">
        <f t="shared" si="28"/>
        <v>0</v>
      </c>
      <c r="J373" s="76">
        <f t="shared" si="29"/>
        <v>0</v>
      </c>
    </row>
    <row r="374" spans="6:10" ht="21.95" customHeight="1">
      <c r="F374" s="72">
        <f t="shared" si="25"/>
        <v>0</v>
      </c>
      <c r="G374" s="73">
        <f t="shared" si="26"/>
        <v>0</v>
      </c>
      <c r="H374" s="74">
        <f t="shared" si="27"/>
        <v>0</v>
      </c>
      <c r="I374" s="75">
        <f t="shared" si="28"/>
        <v>0</v>
      </c>
      <c r="J374" s="76">
        <f t="shared" si="29"/>
        <v>0</v>
      </c>
    </row>
    <row r="375" spans="6:10" ht="21.95" customHeight="1">
      <c r="F375" s="72">
        <f t="shared" si="25"/>
        <v>0</v>
      </c>
      <c r="G375" s="73">
        <f t="shared" si="26"/>
        <v>0</v>
      </c>
      <c r="H375" s="74">
        <f t="shared" si="27"/>
        <v>0</v>
      </c>
      <c r="I375" s="75">
        <f t="shared" si="28"/>
        <v>0</v>
      </c>
      <c r="J375" s="76">
        <f t="shared" si="29"/>
        <v>0</v>
      </c>
    </row>
    <row r="376" spans="6:10" ht="21.95" customHeight="1">
      <c r="F376" s="72">
        <f t="shared" si="25"/>
        <v>0</v>
      </c>
      <c r="G376" s="73">
        <f t="shared" si="26"/>
        <v>0</v>
      </c>
      <c r="H376" s="74">
        <f t="shared" si="27"/>
        <v>0</v>
      </c>
      <c r="I376" s="75">
        <f t="shared" si="28"/>
        <v>0</v>
      </c>
      <c r="J376" s="76">
        <f t="shared" si="29"/>
        <v>0</v>
      </c>
    </row>
    <row r="377" spans="6:10" ht="21.95" customHeight="1">
      <c r="F377" s="72">
        <f t="shared" si="25"/>
        <v>0</v>
      </c>
      <c r="G377" s="73">
        <f t="shared" si="26"/>
        <v>0</v>
      </c>
      <c r="H377" s="74">
        <f t="shared" si="27"/>
        <v>0</v>
      </c>
      <c r="I377" s="75">
        <f t="shared" si="28"/>
        <v>0</v>
      </c>
      <c r="J377" s="76">
        <f t="shared" si="29"/>
        <v>0</v>
      </c>
    </row>
    <row r="378" spans="6:10" ht="21.95" customHeight="1">
      <c r="F378" s="72">
        <f t="shared" si="25"/>
        <v>0</v>
      </c>
      <c r="G378" s="73">
        <f t="shared" si="26"/>
        <v>0</v>
      </c>
      <c r="H378" s="74">
        <f t="shared" si="27"/>
        <v>0</v>
      </c>
      <c r="I378" s="75">
        <f t="shared" si="28"/>
        <v>0</v>
      </c>
      <c r="J378" s="76">
        <f t="shared" si="29"/>
        <v>0</v>
      </c>
    </row>
    <row r="379" spans="6:10" ht="21.95" customHeight="1">
      <c r="F379" s="72">
        <f t="shared" si="25"/>
        <v>0</v>
      </c>
      <c r="G379" s="73">
        <f t="shared" si="26"/>
        <v>0</v>
      </c>
      <c r="H379" s="74">
        <f t="shared" si="27"/>
        <v>0</v>
      </c>
      <c r="I379" s="75">
        <f t="shared" si="28"/>
        <v>0</v>
      </c>
      <c r="J379" s="76">
        <f t="shared" si="29"/>
        <v>0</v>
      </c>
    </row>
    <row r="380" spans="6:10" ht="21.95" customHeight="1">
      <c r="F380" s="72">
        <f t="shared" si="25"/>
        <v>0</v>
      </c>
      <c r="G380" s="73">
        <f t="shared" si="26"/>
        <v>0</v>
      </c>
      <c r="H380" s="74">
        <f t="shared" si="27"/>
        <v>0</v>
      </c>
      <c r="I380" s="75">
        <f t="shared" si="28"/>
        <v>0</v>
      </c>
      <c r="J380" s="76">
        <f t="shared" si="29"/>
        <v>0</v>
      </c>
    </row>
    <row r="381" spans="6:10" ht="21.95" customHeight="1">
      <c r="F381" s="72">
        <f t="shared" si="25"/>
        <v>0</v>
      </c>
      <c r="G381" s="73">
        <f t="shared" si="26"/>
        <v>0</v>
      </c>
      <c r="H381" s="74">
        <f t="shared" si="27"/>
        <v>0</v>
      </c>
      <c r="I381" s="75">
        <f t="shared" si="28"/>
        <v>0</v>
      </c>
      <c r="J381" s="76">
        <f t="shared" si="29"/>
        <v>0</v>
      </c>
    </row>
    <row r="382" spans="6:10" ht="21.95" customHeight="1">
      <c r="F382" s="72">
        <f t="shared" si="25"/>
        <v>0</v>
      </c>
      <c r="G382" s="73">
        <f t="shared" si="26"/>
        <v>0</v>
      </c>
      <c r="H382" s="74">
        <f t="shared" si="27"/>
        <v>0</v>
      </c>
      <c r="I382" s="75">
        <f t="shared" si="28"/>
        <v>0</v>
      </c>
      <c r="J382" s="76">
        <f t="shared" si="29"/>
        <v>0</v>
      </c>
    </row>
    <row r="383" spans="6:10" ht="21.95" customHeight="1">
      <c r="F383" s="72">
        <f t="shared" si="25"/>
        <v>0</v>
      </c>
      <c r="G383" s="73">
        <f t="shared" si="26"/>
        <v>0</v>
      </c>
      <c r="H383" s="74">
        <f t="shared" si="27"/>
        <v>0</v>
      </c>
      <c r="I383" s="75">
        <f t="shared" si="28"/>
        <v>0</v>
      </c>
      <c r="J383" s="76">
        <f t="shared" si="29"/>
        <v>0</v>
      </c>
    </row>
    <row r="384" spans="6:10" ht="21.95" customHeight="1">
      <c r="F384" s="72">
        <f t="shared" si="25"/>
        <v>0</v>
      </c>
      <c r="G384" s="73">
        <f t="shared" si="26"/>
        <v>0</v>
      </c>
      <c r="H384" s="74">
        <f t="shared" si="27"/>
        <v>0</v>
      </c>
      <c r="I384" s="75">
        <f t="shared" si="28"/>
        <v>0</v>
      </c>
      <c r="J384" s="76">
        <f t="shared" si="29"/>
        <v>0</v>
      </c>
    </row>
    <row r="385" spans="6:10" ht="21.95" customHeight="1">
      <c r="F385" s="72">
        <f t="shared" si="25"/>
        <v>0</v>
      </c>
      <c r="G385" s="73">
        <f t="shared" si="26"/>
        <v>0</v>
      </c>
      <c r="H385" s="74">
        <f t="shared" si="27"/>
        <v>0</v>
      </c>
      <c r="I385" s="75">
        <f t="shared" si="28"/>
        <v>0</v>
      </c>
      <c r="J385" s="76">
        <f t="shared" si="29"/>
        <v>0</v>
      </c>
    </row>
    <row r="386" spans="6:10" ht="21.95" customHeight="1">
      <c r="F386" s="72">
        <f t="shared" si="25"/>
        <v>0</v>
      </c>
      <c r="G386" s="73">
        <f t="shared" si="26"/>
        <v>0</v>
      </c>
      <c r="H386" s="74">
        <f t="shared" si="27"/>
        <v>0</v>
      </c>
      <c r="I386" s="75">
        <f t="shared" si="28"/>
        <v>0</v>
      </c>
      <c r="J386" s="76">
        <f t="shared" si="29"/>
        <v>0</v>
      </c>
    </row>
    <row r="387" spans="6:10" ht="21.95" customHeight="1">
      <c r="F387" s="72">
        <f t="shared" ref="F387:F450" si="30">COUNTIF(L387:AA387,2)*15/60+COUNTIF(AF387:AU387,2)*15/60+COUNTIF(AX387:BS387,4)*15/60</f>
        <v>0</v>
      </c>
      <c r="G387" s="73">
        <f t="shared" ref="G387:G450" si="31">COUNTIF(L387:AA387,2)*15/60 + COUNTIF(AF387:AU387,2)*15/60 + COUNTIF(L387:AA387,3)*15/60 + COUNTIF(AF387:AU387,3)*15/60 + COUNTIF(AX387:BS387,4)*15/60</f>
        <v>0</v>
      </c>
      <c r="H387" s="74">
        <f t="shared" ref="H387:H450" si="32">F387-G387</f>
        <v>0</v>
      </c>
      <c r="I387" s="75">
        <f t="shared" ref="I387:I450" si="33">COUNTIF(AX387:BS387,4)*15/60</f>
        <v>0</v>
      </c>
      <c r="J387" s="76">
        <f t="shared" ref="J387:J450" si="34">COUNTIF(L387:AA387,5)*15/60 + COUNTIF(AF387:AU387,5)*15/60</f>
        <v>0</v>
      </c>
    </row>
    <row r="388" spans="6:10" ht="21.95" customHeight="1">
      <c r="F388" s="72">
        <f t="shared" si="30"/>
        <v>0</v>
      </c>
      <c r="G388" s="73">
        <f t="shared" si="31"/>
        <v>0</v>
      </c>
      <c r="H388" s="74">
        <f t="shared" si="32"/>
        <v>0</v>
      </c>
      <c r="I388" s="75">
        <f t="shared" si="33"/>
        <v>0</v>
      </c>
      <c r="J388" s="76">
        <f t="shared" si="34"/>
        <v>0</v>
      </c>
    </row>
    <row r="389" spans="6:10" ht="21.95" customHeight="1">
      <c r="F389" s="72">
        <f t="shared" si="30"/>
        <v>0</v>
      </c>
      <c r="G389" s="73">
        <f t="shared" si="31"/>
        <v>0</v>
      </c>
      <c r="H389" s="74">
        <f t="shared" si="32"/>
        <v>0</v>
      </c>
      <c r="I389" s="75">
        <f t="shared" si="33"/>
        <v>0</v>
      </c>
      <c r="J389" s="76">
        <f t="shared" si="34"/>
        <v>0</v>
      </c>
    </row>
    <row r="390" spans="6:10" ht="21.95" customHeight="1">
      <c r="F390" s="72">
        <f t="shared" si="30"/>
        <v>0</v>
      </c>
      <c r="G390" s="73">
        <f t="shared" si="31"/>
        <v>0</v>
      </c>
      <c r="H390" s="74">
        <f t="shared" si="32"/>
        <v>0</v>
      </c>
      <c r="I390" s="75">
        <f t="shared" si="33"/>
        <v>0</v>
      </c>
      <c r="J390" s="76">
        <f t="shared" si="34"/>
        <v>0</v>
      </c>
    </row>
    <row r="391" spans="6:10" ht="21.95" customHeight="1">
      <c r="F391" s="72">
        <f t="shared" si="30"/>
        <v>0</v>
      </c>
      <c r="G391" s="73">
        <f t="shared" si="31"/>
        <v>0</v>
      </c>
      <c r="H391" s="74">
        <f t="shared" si="32"/>
        <v>0</v>
      </c>
      <c r="I391" s="75">
        <f t="shared" si="33"/>
        <v>0</v>
      </c>
      <c r="J391" s="76">
        <f t="shared" si="34"/>
        <v>0</v>
      </c>
    </row>
    <row r="392" spans="6:10" ht="21.95" customHeight="1">
      <c r="F392" s="72">
        <f t="shared" si="30"/>
        <v>0</v>
      </c>
      <c r="G392" s="73">
        <f t="shared" si="31"/>
        <v>0</v>
      </c>
      <c r="H392" s="74">
        <f t="shared" si="32"/>
        <v>0</v>
      </c>
      <c r="I392" s="75">
        <f t="shared" si="33"/>
        <v>0</v>
      </c>
      <c r="J392" s="76">
        <f t="shared" si="34"/>
        <v>0</v>
      </c>
    </row>
    <row r="393" spans="6:10" ht="21.95" customHeight="1">
      <c r="F393" s="72">
        <f t="shared" si="30"/>
        <v>0</v>
      </c>
      <c r="G393" s="73">
        <f t="shared" si="31"/>
        <v>0</v>
      </c>
      <c r="H393" s="74">
        <f t="shared" si="32"/>
        <v>0</v>
      </c>
      <c r="I393" s="75">
        <f t="shared" si="33"/>
        <v>0</v>
      </c>
      <c r="J393" s="76">
        <f t="shared" si="34"/>
        <v>0</v>
      </c>
    </row>
    <row r="394" spans="6:10" ht="21.95" customHeight="1">
      <c r="F394" s="72">
        <f t="shared" si="30"/>
        <v>0</v>
      </c>
      <c r="G394" s="73">
        <f t="shared" si="31"/>
        <v>0</v>
      </c>
      <c r="H394" s="74">
        <f t="shared" si="32"/>
        <v>0</v>
      </c>
      <c r="I394" s="75">
        <f t="shared" si="33"/>
        <v>0</v>
      </c>
      <c r="J394" s="76">
        <f t="shared" si="34"/>
        <v>0</v>
      </c>
    </row>
    <row r="395" spans="6:10" ht="21.95" customHeight="1">
      <c r="F395" s="72">
        <f t="shared" si="30"/>
        <v>0</v>
      </c>
      <c r="G395" s="73">
        <f t="shared" si="31"/>
        <v>0</v>
      </c>
      <c r="H395" s="74">
        <f t="shared" si="32"/>
        <v>0</v>
      </c>
      <c r="I395" s="75">
        <f t="shared" si="33"/>
        <v>0</v>
      </c>
      <c r="J395" s="76">
        <f t="shared" si="34"/>
        <v>0</v>
      </c>
    </row>
    <row r="396" spans="6:10" ht="21.95" customHeight="1">
      <c r="F396" s="72">
        <f t="shared" si="30"/>
        <v>0</v>
      </c>
      <c r="G396" s="73">
        <f t="shared" si="31"/>
        <v>0</v>
      </c>
      <c r="H396" s="74">
        <f t="shared" si="32"/>
        <v>0</v>
      </c>
      <c r="I396" s="75">
        <f t="shared" si="33"/>
        <v>0</v>
      </c>
      <c r="J396" s="76">
        <f t="shared" si="34"/>
        <v>0</v>
      </c>
    </row>
    <row r="397" spans="6:10" ht="21.95" customHeight="1">
      <c r="F397" s="72">
        <f t="shared" si="30"/>
        <v>0</v>
      </c>
      <c r="G397" s="73">
        <f t="shared" si="31"/>
        <v>0</v>
      </c>
      <c r="H397" s="74">
        <f t="shared" si="32"/>
        <v>0</v>
      </c>
      <c r="I397" s="75">
        <f t="shared" si="33"/>
        <v>0</v>
      </c>
      <c r="J397" s="76">
        <f t="shared" si="34"/>
        <v>0</v>
      </c>
    </row>
    <row r="398" spans="6:10" ht="21.95" customHeight="1">
      <c r="F398" s="72">
        <f t="shared" si="30"/>
        <v>0</v>
      </c>
      <c r="G398" s="73">
        <f t="shared" si="31"/>
        <v>0</v>
      </c>
      <c r="H398" s="74">
        <f t="shared" si="32"/>
        <v>0</v>
      </c>
      <c r="I398" s="75">
        <f t="shared" si="33"/>
        <v>0</v>
      </c>
      <c r="J398" s="76">
        <f t="shared" si="34"/>
        <v>0</v>
      </c>
    </row>
    <row r="399" spans="6:10" ht="21.95" customHeight="1">
      <c r="F399" s="72">
        <f t="shared" si="30"/>
        <v>0</v>
      </c>
      <c r="G399" s="73">
        <f t="shared" si="31"/>
        <v>0</v>
      </c>
      <c r="H399" s="74">
        <f t="shared" si="32"/>
        <v>0</v>
      </c>
      <c r="I399" s="75">
        <f t="shared" si="33"/>
        <v>0</v>
      </c>
      <c r="J399" s="76">
        <f t="shared" si="34"/>
        <v>0</v>
      </c>
    </row>
    <row r="400" spans="6:10" ht="21.95" customHeight="1">
      <c r="F400" s="72">
        <f t="shared" si="30"/>
        <v>0</v>
      </c>
      <c r="G400" s="73">
        <f t="shared" si="31"/>
        <v>0</v>
      </c>
      <c r="H400" s="74">
        <f t="shared" si="32"/>
        <v>0</v>
      </c>
      <c r="I400" s="75">
        <f t="shared" si="33"/>
        <v>0</v>
      </c>
      <c r="J400" s="76">
        <f t="shared" si="34"/>
        <v>0</v>
      </c>
    </row>
    <row r="401" spans="6:10" ht="21.95" customHeight="1">
      <c r="F401" s="72">
        <f t="shared" si="30"/>
        <v>0</v>
      </c>
      <c r="G401" s="73">
        <f t="shared" si="31"/>
        <v>0</v>
      </c>
      <c r="H401" s="74">
        <f t="shared" si="32"/>
        <v>0</v>
      </c>
      <c r="I401" s="75">
        <f t="shared" si="33"/>
        <v>0</v>
      </c>
      <c r="J401" s="76">
        <f t="shared" si="34"/>
        <v>0</v>
      </c>
    </row>
    <row r="402" spans="6:10" ht="21.95" customHeight="1">
      <c r="F402" s="72">
        <f t="shared" si="30"/>
        <v>0</v>
      </c>
      <c r="G402" s="73">
        <f t="shared" si="31"/>
        <v>0</v>
      </c>
      <c r="H402" s="74">
        <f t="shared" si="32"/>
        <v>0</v>
      </c>
      <c r="I402" s="75">
        <f t="shared" si="33"/>
        <v>0</v>
      </c>
      <c r="J402" s="76">
        <f t="shared" si="34"/>
        <v>0</v>
      </c>
    </row>
    <row r="403" spans="6:10" ht="21.95" customHeight="1">
      <c r="F403" s="72">
        <f t="shared" si="30"/>
        <v>0</v>
      </c>
      <c r="G403" s="73">
        <f t="shared" si="31"/>
        <v>0</v>
      </c>
      <c r="H403" s="74">
        <f t="shared" si="32"/>
        <v>0</v>
      </c>
      <c r="I403" s="75">
        <f t="shared" si="33"/>
        <v>0</v>
      </c>
      <c r="J403" s="76">
        <f t="shared" si="34"/>
        <v>0</v>
      </c>
    </row>
    <row r="404" spans="6:10" ht="21.95" customHeight="1">
      <c r="F404" s="72">
        <f t="shared" si="30"/>
        <v>0</v>
      </c>
      <c r="G404" s="73">
        <f t="shared" si="31"/>
        <v>0</v>
      </c>
      <c r="H404" s="74">
        <f t="shared" si="32"/>
        <v>0</v>
      </c>
      <c r="I404" s="75">
        <f t="shared" si="33"/>
        <v>0</v>
      </c>
      <c r="J404" s="76">
        <f t="shared" si="34"/>
        <v>0</v>
      </c>
    </row>
    <row r="405" spans="6:10" ht="21.95" customHeight="1">
      <c r="F405" s="72">
        <f t="shared" si="30"/>
        <v>0</v>
      </c>
      <c r="G405" s="73">
        <f t="shared" si="31"/>
        <v>0</v>
      </c>
      <c r="H405" s="74">
        <f t="shared" si="32"/>
        <v>0</v>
      </c>
      <c r="I405" s="75">
        <f t="shared" si="33"/>
        <v>0</v>
      </c>
      <c r="J405" s="76">
        <f t="shared" si="34"/>
        <v>0</v>
      </c>
    </row>
    <row r="406" spans="6:10" ht="21.95" customHeight="1">
      <c r="F406" s="72">
        <f t="shared" si="30"/>
        <v>0</v>
      </c>
      <c r="G406" s="73">
        <f t="shared" si="31"/>
        <v>0</v>
      </c>
      <c r="H406" s="74">
        <f t="shared" si="32"/>
        <v>0</v>
      </c>
      <c r="I406" s="75">
        <f t="shared" si="33"/>
        <v>0</v>
      </c>
      <c r="J406" s="76">
        <f t="shared" si="34"/>
        <v>0</v>
      </c>
    </row>
    <row r="407" spans="6:10" ht="21.95" customHeight="1">
      <c r="F407" s="72">
        <f t="shared" si="30"/>
        <v>0</v>
      </c>
      <c r="G407" s="73">
        <f t="shared" si="31"/>
        <v>0</v>
      </c>
      <c r="H407" s="74">
        <f t="shared" si="32"/>
        <v>0</v>
      </c>
      <c r="I407" s="75">
        <f t="shared" si="33"/>
        <v>0</v>
      </c>
      <c r="J407" s="76">
        <f t="shared" si="34"/>
        <v>0</v>
      </c>
    </row>
    <row r="408" spans="6:10" ht="21.95" customHeight="1">
      <c r="F408" s="72">
        <f t="shared" si="30"/>
        <v>0</v>
      </c>
      <c r="G408" s="73">
        <f t="shared" si="31"/>
        <v>0</v>
      </c>
      <c r="H408" s="74">
        <f t="shared" si="32"/>
        <v>0</v>
      </c>
      <c r="I408" s="75">
        <f t="shared" si="33"/>
        <v>0</v>
      </c>
      <c r="J408" s="76">
        <f t="shared" si="34"/>
        <v>0</v>
      </c>
    </row>
    <row r="409" spans="6:10" ht="21.95" customHeight="1">
      <c r="F409" s="72">
        <f t="shared" si="30"/>
        <v>0</v>
      </c>
      <c r="G409" s="73">
        <f t="shared" si="31"/>
        <v>0</v>
      </c>
      <c r="H409" s="74">
        <f t="shared" si="32"/>
        <v>0</v>
      </c>
      <c r="I409" s="75">
        <f t="shared" si="33"/>
        <v>0</v>
      </c>
      <c r="J409" s="76">
        <f t="shared" si="34"/>
        <v>0</v>
      </c>
    </row>
    <row r="410" spans="6:10" ht="21.95" customHeight="1">
      <c r="F410" s="72">
        <f t="shared" si="30"/>
        <v>0</v>
      </c>
      <c r="G410" s="73">
        <f t="shared" si="31"/>
        <v>0</v>
      </c>
      <c r="H410" s="74">
        <f t="shared" si="32"/>
        <v>0</v>
      </c>
      <c r="I410" s="75">
        <f t="shared" si="33"/>
        <v>0</v>
      </c>
      <c r="J410" s="76">
        <f t="shared" si="34"/>
        <v>0</v>
      </c>
    </row>
    <row r="411" spans="6:10" ht="21.95" customHeight="1">
      <c r="F411" s="72">
        <f t="shared" si="30"/>
        <v>0</v>
      </c>
      <c r="G411" s="73">
        <f t="shared" si="31"/>
        <v>0</v>
      </c>
      <c r="H411" s="74">
        <f t="shared" si="32"/>
        <v>0</v>
      </c>
      <c r="I411" s="75">
        <f t="shared" si="33"/>
        <v>0</v>
      </c>
      <c r="J411" s="76">
        <f t="shared" si="34"/>
        <v>0</v>
      </c>
    </row>
    <row r="412" spans="6:10" ht="21.95" customHeight="1">
      <c r="F412" s="72">
        <f t="shared" si="30"/>
        <v>0</v>
      </c>
      <c r="G412" s="73">
        <f t="shared" si="31"/>
        <v>0</v>
      </c>
      <c r="H412" s="74">
        <f t="shared" si="32"/>
        <v>0</v>
      </c>
      <c r="I412" s="75">
        <f t="shared" si="33"/>
        <v>0</v>
      </c>
      <c r="J412" s="76">
        <f t="shared" si="34"/>
        <v>0</v>
      </c>
    </row>
    <row r="413" spans="6:10" ht="21.95" customHeight="1">
      <c r="F413" s="72">
        <f t="shared" si="30"/>
        <v>0</v>
      </c>
      <c r="G413" s="73">
        <f t="shared" si="31"/>
        <v>0</v>
      </c>
      <c r="H413" s="74">
        <f t="shared" si="32"/>
        <v>0</v>
      </c>
      <c r="I413" s="75">
        <f t="shared" si="33"/>
        <v>0</v>
      </c>
      <c r="J413" s="76">
        <f t="shared" si="34"/>
        <v>0</v>
      </c>
    </row>
    <row r="414" spans="6:10" ht="21.95" customHeight="1">
      <c r="F414" s="72">
        <f t="shared" si="30"/>
        <v>0</v>
      </c>
      <c r="G414" s="73">
        <f t="shared" si="31"/>
        <v>0</v>
      </c>
      <c r="H414" s="74">
        <f t="shared" si="32"/>
        <v>0</v>
      </c>
      <c r="I414" s="75">
        <f t="shared" si="33"/>
        <v>0</v>
      </c>
      <c r="J414" s="76">
        <f t="shared" si="34"/>
        <v>0</v>
      </c>
    </row>
    <row r="415" spans="6:10" ht="21.95" customHeight="1">
      <c r="F415" s="72">
        <f t="shared" si="30"/>
        <v>0</v>
      </c>
      <c r="G415" s="73">
        <f t="shared" si="31"/>
        <v>0</v>
      </c>
      <c r="H415" s="74">
        <f t="shared" si="32"/>
        <v>0</v>
      </c>
      <c r="I415" s="75">
        <f t="shared" si="33"/>
        <v>0</v>
      </c>
      <c r="J415" s="76">
        <f t="shared" si="34"/>
        <v>0</v>
      </c>
    </row>
    <row r="416" spans="6:10" ht="21.95" customHeight="1">
      <c r="F416" s="72">
        <f t="shared" si="30"/>
        <v>0</v>
      </c>
      <c r="G416" s="73">
        <f t="shared" si="31"/>
        <v>0</v>
      </c>
      <c r="H416" s="74">
        <f t="shared" si="32"/>
        <v>0</v>
      </c>
      <c r="I416" s="75">
        <f t="shared" si="33"/>
        <v>0</v>
      </c>
      <c r="J416" s="76">
        <f t="shared" si="34"/>
        <v>0</v>
      </c>
    </row>
    <row r="417" spans="6:10" ht="21.95" customHeight="1">
      <c r="F417" s="72">
        <f t="shared" si="30"/>
        <v>0</v>
      </c>
      <c r="G417" s="73">
        <f t="shared" si="31"/>
        <v>0</v>
      </c>
      <c r="H417" s="74">
        <f t="shared" si="32"/>
        <v>0</v>
      </c>
      <c r="I417" s="75">
        <f t="shared" si="33"/>
        <v>0</v>
      </c>
      <c r="J417" s="76">
        <f t="shared" si="34"/>
        <v>0</v>
      </c>
    </row>
    <row r="418" spans="6:10" ht="21.95" customHeight="1">
      <c r="F418" s="72">
        <f t="shared" si="30"/>
        <v>0</v>
      </c>
      <c r="G418" s="73">
        <f t="shared" si="31"/>
        <v>0</v>
      </c>
      <c r="H418" s="74">
        <f t="shared" si="32"/>
        <v>0</v>
      </c>
      <c r="I418" s="75">
        <f t="shared" si="33"/>
        <v>0</v>
      </c>
      <c r="J418" s="76">
        <f t="shared" si="34"/>
        <v>0</v>
      </c>
    </row>
    <row r="419" spans="6:10" ht="21.95" customHeight="1">
      <c r="F419" s="72">
        <f t="shared" si="30"/>
        <v>0</v>
      </c>
      <c r="G419" s="73">
        <f t="shared" si="31"/>
        <v>0</v>
      </c>
      <c r="H419" s="74">
        <f t="shared" si="32"/>
        <v>0</v>
      </c>
      <c r="I419" s="75">
        <f t="shared" si="33"/>
        <v>0</v>
      </c>
      <c r="J419" s="76">
        <f t="shared" si="34"/>
        <v>0</v>
      </c>
    </row>
    <row r="420" spans="6:10" ht="21.95" customHeight="1">
      <c r="F420" s="72">
        <f t="shared" si="30"/>
        <v>0</v>
      </c>
      <c r="G420" s="73">
        <f t="shared" si="31"/>
        <v>0</v>
      </c>
      <c r="H420" s="74">
        <f t="shared" si="32"/>
        <v>0</v>
      </c>
      <c r="I420" s="75">
        <f t="shared" si="33"/>
        <v>0</v>
      </c>
      <c r="J420" s="76">
        <f t="shared" si="34"/>
        <v>0</v>
      </c>
    </row>
    <row r="421" spans="6:10" ht="21.95" customHeight="1">
      <c r="F421" s="72">
        <f t="shared" si="30"/>
        <v>0</v>
      </c>
      <c r="G421" s="73">
        <f t="shared" si="31"/>
        <v>0</v>
      </c>
      <c r="H421" s="74">
        <f t="shared" si="32"/>
        <v>0</v>
      </c>
      <c r="I421" s="75">
        <f t="shared" si="33"/>
        <v>0</v>
      </c>
      <c r="J421" s="76">
        <f t="shared" si="34"/>
        <v>0</v>
      </c>
    </row>
    <row r="422" spans="6:10" ht="21.95" customHeight="1">
      <c r="F422" s="72">
        <f t="shared" si="30"/>
        <v>0</v>
      </c>
      <c r="G422" s="73">
        <f t="shared" si="31"/>
        <v>0</v>
      </c>
      <c r="H422" s="74">
        <f t="shared" si="32"/>
        <v>0</v>
      </c>
      <c r="I422" s="75">
        <f t="shared" si="33"/>
        <v>0</v>
      </c>
      <c r="J422" s="76">
        <f t="shared" si="34"/>
        <v>0</v>
      </c>
    </row>
    <row r="423" spans="6:10" ht="21.95" customHeight="1">
      <c r="F423" s="72">
        <f t="shared" si="30"/>
        <v>0</v>
      </c>
      <c r="G423" s="73">
        <f t="shared" si="31"/>
        <v>0</v>
      </c>
      <c r="H423" s="74">
        <f t="shared" si="32"/>
        <v>0</v>
      </c>
      <c r="I423" s="75">
        <f t="shared" si="33"/>
        <v>0</v>
      </c>
      <c r="J423" s="76">
        <f t="shared" si="34"/>
        <v>0</v>
      </c>
    </row>
    <row r="424" spans="6:10" ht="21.95" customHeight="1">
      <c r="F424" s="72">
        <f t="shared" si="30"/>
        <v>0</v>
      </c>
      <c r="G424" s="73">
        <f t="shared" si="31"/>
        <v>0</v>
      </c>
      <c r="H424" s="74">
        <f t="shared" si="32"/>
        <v>0</v>
      </c>
      <c r="I424" s="75">
        <f t="shared" si="33"/>
        <v>0</v>
      </c>
      <c r="J424" s="76">
        <f t="shared" si="34"/>
        <v>0</v>
      </c>
    </row>
    <row r="425" spans="6:10" ht="21.95" customHeight="1">
      <c r="F425" s="72">
        <f t="shared" si="30"/>
        <v>0</v>
      </c>
      <c r="G425" s="73">
        <f t="shared" si="31"/>
        <v>0</v>
      </c>
      <c r="H425" s="74">
        <f t="shared" si="32"/>
        <v>0</v>
      </c>
      <c r="I425" s="75">
        <f t="shared" si="33"/>
        <v>0</v>
      </c>
      <c r="J425" s="76">
        <f t="shared" si="34"/>
        <v>0</v>
      </c>
    </row>
    <row r="426" spans="6:10" ht="21.95" customHeight="1">
      <c r="F426" s="72">
        <f t="shared" si="30"/>
        <v>0</v>
      </c>
      <c r="G426" s="73">
        <f t="shared" si="31"/>
        <v>0</v>
      </c>
      <c r="H426" s="74">
        <f t="shared" si="32"/>
        <v>0</v>
      </c>
      <c r="I426" s="75">
        <f t="shared" si="33"/>
        <v>0</v>
      </c>
      <c r="J426" s="76">
        <f t="shared" si="34"/>
        <v>0</v>
      </c>
    </row>
    <row r="427" spans="6:10" ht="21.95" customHeight="1">
      <c r="F427" s="72">
        <f t="shared" si="30"/>
        <v>0</v>
      </c>
      <c r="G427" s="73">
        <f t="shared" si="31"/>
        <v>0</v>
      </c>
      <c r="H427" s="74">
        <f t="shared" si="32"/>
        <v>0</v>
      </c>
      <c r="I427" s="75">
        <f t="shared" si="33"/>
        <v>0</v>
      </c>
      <c r="J427" s="76">
        <f t="shared" si="34"/>
        <v>0</v>
      </c>
    </row>
    <row r="428" spans="6:10" ht="21.95" customHeight="1">
      <c r="F428" s="72">
        <f t="shared" si="30"/>
        <v>0</v>
      </c>
      <c r="G428" s="73">
        <f t="shared" si="31"/>
        <v>0</v>
      </c>
      <c r="H428" s="74">
        <f t="shared" si="32"/>
        <v>0</v>
      </c>
      <c r="I428" s="75">
        <f t="shared" si="33"/>
        <v>0</v>
      </c>
      <c r="J428" s="76">
        <f t="shared" si="34"/>
        <v>0</v>
      </c>
    </row>
    <row r="429" spans="6:10" ht="21.95" customHeight="1">
      <c r="F429" s="72">
        <f t="shared" si="30"/>
        <v>0</v>
      </c>
      <c r="G429" s="73">
        <f t="shared" si="31"/>
        <v>0</v>
      </c>
      <c r="H429" s="74">
        <f t="shared" si="32"/>
        <v>0</v>
      </c>
      <c r="I429" s="75">
        <f t="shared" si="33"/>
        <v>0</v>
      </c>
      <c r="J429" s="76">
        <f t="shared" si="34"/>
        <v>0</v>
      </c>
    </row>
    <row r="430" spans="6:10" ht="21.95" customHeight="1">
      <c r="F430" s="72">
        <f t="shared" si="30"/>
        <v>0</v>
      </c>
      <c r="G430" s="73">
        <f t="shared" si="31"/>
        <v>0</v>
      </c>
      <c r="H430" s="74">
        <f t="shared" si="32"/>
        <v>0</v>
      </c>
      <c r="I430" s="75">
        <f t="shared" si="33"/>
        <v>0</v>
      </c>
      <c r="J430" s="76">
        <f t="shared" si="34"/>
        <v>0</v>
      </c>
    </row>
    <row r="431" spans="6:10" ht="21.95" customHeight="1">
      <c r="F431" s="72">
        <f t="shared" si="30"/>
        <v>0</v>
      </c>
      <c r="G431" s="73">
        <f t="shared" si="31"/>
        <v>0</v>
      </c>
      <c r="H431" s="74">
        <f t="shared" si="32"/>
        <v>0</v>
      </c>
      <c r="I431" s="75">
        <f t="shared" si="33"/>
        <v>0</v>
      </c>
      <c r="J431" s="76">
        <f t="shared" si="34"/>
        <v>0</v>
      </c>
    </row>
    <row r="432" spans="6:10" ht="21.95" customHeight="1">
      <c r="F432" s="72">
        <f t="shared" si="30"/>
        <v>0</v>
      </c>
      <c r="G432" s="73">
        <f t="shared" si="31"/>
        <v>0</v>
      </c>
      <c r="H432" s="74">
        <f t="shared" si="32"/>
        <v>0</v>
      </c>
      <c r="I432" s="75">
        <f t="shared" si="33"/>
        <v>0</v>
      </c>
      <c r="J432" s="76">
        <f t="shared" si="34"/>
        <v>0</v>
      </c>
    </row>
    <row r="433" spans="6:10" ht="21.95" customHeight="1">
      <c r="F433" s="72">
        <f t="shared" si="30"/>
        <v>0</v>
      </c>
      <c r="G433" s="73">
        <f t="shared" si="31"/>
        <v>0</v>
      </c>
      <c r="H433" s="74">
        <f t="shared" si="32"/>
        <v>0</v>
      </c>
      <c r="I433" s="75">
        <f t="shared" si="33"/>
        <v>0</v>
      </c>
      <c r="J433" s="76">
        <f t="shared" si="34"/>
        <v>0</v>
      </c>
    </row>
    <row r="434" spans="6:10" ht="21.95" customHeight="1">
      <c r="F434" s="72">
        <f t="shared" si="30"/>
        <v>0</v>
      </c>
      <c r="G434" s="73">
        <f t="shared" si="31"/>
        <v>0</v>
      </c>
      <c r="H434" s="74">
        <f t="shared" si="32"/>
        <v>0</v>
      </c>
      <c r="I434" s="75">
        <f t="shared" si="33"/>
        <v>0</v>
      </c>
      <c r="J434" s="76">
        <f t="shared" si="34"/>
        <v>0</v>
      </c>
    </row>
    <row r="435" spans="6:10" ht="21.95" customHeight="1">
      <c r="F435" s="72">
        <f t="shared" si="30"/>
        <v>0</v>
      </c>
      <c r="G435" s="73">
        <f t="shared" si="31"/>
        <v>0</v>
      </c>
      <c r="H435" s="74">
        <f t="shared" si="32"/>
        <v>0</v>
      </c>
      <c r="I435" s="75">
        <f t="shared" si="33"/>
        <v>0</v>
      </c>
      <c r="J435" s="76">
        <f t="shared" si="34"/>
        <v>0</v>
      </c>
    </row>
    <row r="436" spans="6:10" ht="21.95" customHeight="1">
      <c r="F436" s="72">
        <f t="shared" si="30"/>
        <v>0</v>
      </c>
      <c r="G436" s="73">
        <f t="shared" si="31"/>
        <v>0</v>
      </c>
      <c r="H436" s="74">
        <f t="shared" si="32"/>
        <v>0</v>
      </c>
      <c r="I436" s="75">
        <f t="shared" si="33"/>
        <v>0</v>
      </c>
      <c r="J436" s="76">
        <f t="shared" si="34"/>
        <v>0</v>
      </c>
    </row>
    <row r="437" spans="6:10" ht="21.95" customHeight="1">
      <c r="F437" s="72">
        <f t="shared" si="30"/>
        <v>0</v>
      </c>
      <c r="G437" s="73">
        <f t="shared" si="31"/>
        <v>0</v>
      </c>
      <c r="H437" s="74">
        <f t="shared" si="32"/>
        <v>0</v>
      </c>
      <c r="I437" s="75">
        <f t="shared" si="33"/>
        <v>0</v>
      </c>
      <c r="J437" s="76">
        <f t="shared" si="34"/>
        <v>0</v>
      </c>
    </row>
    <row r="438" spans="6:10" ht="21.95" customHeight="1">
      <c r="F438" s="72">
        <f t="shared" si="30"/>
        <v>0</v>
      </c>
      <c r="G438" s="73">
        <f t="shared" si="31"/>
        <v>0</v>
      </c>
      <c r="H438" s="74">
        <f t="shared" si="32"/>
        <v>0</v>
      </c>
      <c r="I438" s="75">
        <f t="shared" si="33"/>
        <v>0</v>
      </c>
      <c r="J438" s="76">
        <f t="shared" si="34"/>
        <v>0</v>
      </c>
    </row>
    <row r="439" spans="6:10" ht="21.95" customHeight="1">
      <c r="F439" s="72">
        <f t="shared" si="30"/>
        <v>0</v>
      </c>
      <c r="G439" s="73">
        <f t="shared" si="31"/>
        <v>0</v>
      </c>
      <c r="H439" s="74">
        <f t="shared" si="32"/>
        <v>0</v>
      </c>
      <c r="I439" s="75">
        <f t="shared" si="33"/>
        <v>0</v>
      </c>
      <c r="J439" s="76">
        <f t="shared" si="34"/>
        <v>0</v>
      </c>
    </row>
    <row r="440" spans="6:10" ht="21.95" customHeight="1">
      <c r="F440" s="72">
        <f t="shared" si="30"/>
        <v>0</v>
      </c>
      <c r="G440" s="73">
        <f t="shared" si="31"/>
        <v>0</v>
      </c>
      <c r="H440" s="74">
        <f t="shared" si="32"/>
        <v>0</v>
      </c>
      <c r="I440" s="75">
        <f t="shared" si="33"/>
        <v>0</v>
      </c>
      <c r="J440" s="76">
        <f t="shared" si="34"/>
        <v>0</v>
      </c>
    </row>
    <row r="441" spans="6:10" ht="21.95" customHeight="1">
      <c r="F441" s="72">
        <f t="shared" si="30"/>
        <v>0</v>
      </c>
      <c r="G441" s="73">
        <f t="shared" si="31"/>
        <v>0</v>
      </c>
      <c r="H441" s="74">
        <f t="shared" si="32"/>
        <v>0</v>
      </c>
      <c r="I441" s="75">
        <f t="shared" si="33"/>
        <v>0</v>
      </c>
      <c r="J441" s="76">
        <f t="shared" si="34"/>
        <v>0</v>
      </c>
    </row>
    <row r="442" spans="6:10" ht="21.95" customHeight="1">
      <c r="F442" s="72">
        <f t="shared" si="30"/>
        <v>0</v>
      </c>
      <c r="G442" s="73">
        <f t="shared" si="31"/>
        <v>0</v>
      </c>
      <c r="H442" s="74">
        <f t="shared" si="32"/>
        <v>0</v>
      </c>
      <c r="I442" s="75">
        <f t="shared" si="33"/>
        <v>0</v>
      </c>
      <c r="J442" s="76">
        <f t="shared" si="34"/>
        <v>0</v>
      </c>
    </row>
    <row r="443" spans="6:10" ht="21.95" customHeight="1">
      <c r="F443" s="72">
        <f t="shared" si="30"/>
        <v>0</v>
      </c>
      <c r="G443" s="73">
        <f t="shared" si="31"/>
        <v>0</v>
      </c>
      <c r="H443" s="74">
        <f t="shared" si="32"/>
        <v>0</v>
      </c>
      <c r="I443" s="75">
        <f t="shared" si="33"/>
        <v>0</v>
      </c>
      <c r="J443" s="76">
        <f t="shared" si="34"/>
        <v>0</v>
      </c>
    </row>
    <row r="444" spans="6:10" ht="21.95" customHeight="1">
      <c r="F444" s="72">
        <f t="shared" si="30"/>
        <v>0</v>
      </c>
      <c r="G444" s="73">
        <f t="shared" si="31"/>
        <v>0</v>
      </c>
      <c r="H444" s="74">
        <f t="shared" si="32"/>
        <v>0</v>
      </c>
      <c r="I444" s="75">
        <f t="shared" si="33"/>
        <v>0</v>
      </c>
      <c r="J444" s="76">
        <f t="shared" si="34"/>
        <v>0</v>
      </c>
    </row>
    <row r="445" spans="6:10" ht="21.95" customHeight="1">
      <c r="F445" s="72">
        <f t="shared" si="30"/>
        <v>0</v>
      </c>
      <c r="G445" s="73">
        <f t="shared" si="31"/>
        <v>0</v>
      </c>
      <c r="H445" s="74">
        <f t="shared" si="32"/>
        <v>0</v>
      </c>
      <c r="I445" s="75">
        <f t="shared" si="33"/>
        <v>0</v>
      </c>
      <c r="J445" s="76">
        <f t="shared" si="34"/>
        <v>0</v>
      </c>
    </row>
    <row r="446" spans="6:10" ht="21.95" customHeight="1">
      <c r="F446" s="72">
        <f t="shared" si="30"/>
        <v>0</v>
      </c>
      <c r="G446" s="73">
        <f t="shared" si="31"/>
        <v>0</v>
      </c>
      <c r="H446" s="74">
        <f t="shared" si="32"/>
        <v>0</v>
      </c>
      <c r="I446" s="75">
        <f t="shared" si="33"/>
        <v>0</v>
      </c>
      <c r="J446" s="76">
        <f t="shared" si="34"/>
        <v>0</v>
      </c>
    </row>
    <row r="447" spans="6:10" ht="21.95" customHeight="1">
      <c r="F447" s="72">
        <f t="shared" si="30"/>
        <v>0</v>
      </c>
      <c r="G447" s="73">
        <f t="shared" si="31"/>
        <v>0</v>
      </c>
      <c r="H447" s="74">
        <f t="shared" si="32"/>
        <v>0</v>
      </c>
      <c r="I447" s="75">
        <f t="shared" si="33"/>
        <v>0</v>
      </c>
      <c r="J447" s="76">
        <f t="shared" si="34"/>
        <v>0</v>
      </c>
    </row>
    <row r="448" spans="6:10" ht="21.95" customHeight="1">
      <c r="F448" s="72">
        <f t="shared" si="30"/>
        <v>0</v>
      </c>
      <c r="G448" s="73">
        <f t="shared" si="31"/>
        <v>0</v>
      </c>
      <c r="H448" s="74">
        <f t="shared" si="32"/>
        <v>0</v>
      </c>
      <c r="I448" s="75">
        <f t="shared" si="33"/>
        <v>0</v>
      </c>
      <c r="J448" s="76">
        <f t="shared" si="34"/>
        <v>0</v>
      </c>
    </row>
    <row r="449" spans="6:10" ht="21.95" customHeight="1">
      <c r="F449" s="72">
        <f t="shared" si="30"/>
        <v>0</v>
      </c>
      <c r="G449" s="73">
        <f t="shared" si="31"/>
        <v>0</v>
      </c>
      <c r="H449" s="74">
        <f t="shared" si="32"/>
        <v>0</v>
      </c>
      <c r="I449" s="75">
        <f t="shared" si="33"/>
        <v>0</v>
      </c>
      <c r="J449" s="76">
        <f t="shared" si="34"/>
        <v>0</v>
      </c>
    </row>
    <row r="450" spans="6:10" ht="21.95" customHeight="1">
      <c r="F450" s="72">
        <f t="shared" si="30"/>
        <v>0</v>
      </c>
      <c r="G450" s="73">
        <f t="shared" si="31"/>
        <v>0</v>
      </c>
      <c r="H450" s="74">
        <f t="shared" si="32"/>
        <v>0</v>
      </c>
      <c r="I450" s="75">
        <f t="shared" si="33"/>
        <v>0</v>
      </c>
      <c r="J450" s="76">
        <f t="shared" si="34"/>
        <v>0</v>
      </c>
    </row>
    <row r="451" spans="6:10" ht="21.95" customHeight="1">
      <c r="F451" s="72">
        <f t="shared" ref="F451:F500" si="35">COUNTIF(L451:AA451,2)*15/60+COUNTIF(AF451:AU451,2)*15/60+COUNTIF(AX451:BS451,4)*15/60</f>
        <v>0</v>
      </c>
      <c r="G451" s="73">
        <f t="shared" ref="G451:G500" si="36">COUNTIF(L451:AA451,2)*15/60 + COUNTIF(AF451:AU451,2)*15/60 + COUNTIF(L451:AA451,3)*15/60 + COUNTIF(AF451:AU451,3)*15/60 + COUNTIF(AX451:BS451,4)*15/60</f>
        <v>0</v>
      </c>
      <c r="H451" s="74">
        <f t="shared" ref="H451:H500" si="37">F451-G451</f>
        <v>0</v>
      </c>
      <c r="I451" s="75">
        <f t="shared" ref="I451:I500" si="38">COUNTIF(AX451:BS451,4)*15/60</f>
        <v>0</v>
      </c>
      <c r="J451" s="76">
        <f t="shared" ref="J451:J500" si="39">COUNTIF(L451:AA451,5)*15/60 + COUNTIF(AF451:AU451,5)*15/60</f>
        <v>0</v>
      </c>
    </row>
    <row r="452" spans="6:10" ht="21.95" customHeight="1">
      <c r="F452" s="72">
        <f t="shared" si="35"/>
        <v>0</v>
      </c>
      <c r="G452" s="73">
        <f t="shared" si="36"/>
        <v>0</v>
      </c>
      <c r="H452" s="74">
        <f t="shared" si="37"/>
        <v>0</v>
      </c>
      <c r="I452" s="75">
        <f t="shared" si="38"/>
        <v>0</v>
      </c>
      <c r="J452" s="76">
        <f t="shared" si="39"/>
        <v>0</v>
      </c>
    </row>
    <row r="453" spans="6:10" ht="21.95" customHeight="1">
      <c r="F453" s="72">
        <f t="shared" si="35"/>
        <v>0</v>
      </c>
      <c r="G453" s="73">
        <f t="shared" si="36"/>
        <v>0</v>
      </c>
      <c r="H453" s="74">
        <f t="shared" si="37"/>
        <v>0</v>
      </c>
      <c r="I453" s="75">
        <f t="shared" si="38"/>
        <v>0</v>
      </c>
      <c r="J453" s="76">
        <f t="shared" si="39"/>
        <v>0</v>
      </c>
    </row>
    <row r="454" spans="6:10" ht="21.95" customHeight="1">
      <c r="F454" s="72">
        <f t="shared" si="35"/>
        <v>0</v>
      </c>
      <c r="G454" s="73">
        <f t="shared" si="36"/>
        <v>0</v>
      </c>
      <c r="H454" s="74">
        <f t="shared" si="37"/>
        <v>0</v>
      </c>
      <c r="I454" s="75">
        <f t="shared" si="38"/>
        <v>0</v>
      </c>
      <c r="J454" s="76">
        <f t="shared" si="39"/>
        <v>0</v>
      </c>
    </row>
    <row r="455" spans="6:10" ht="21.95" customHeight="1">
      <c r="F455" s="72">
        <f t="shared" si="35"/>
        <v>0</v>
      </c>
      <c r="G455" s="73">
        <f t="shared" si="36"/>
        <v>0</v>
      </c>
      <c r="H455" s="74">
        <f t="shared" si="37"/>
        <v>0</v>
      </c>
      <c r="I455" s="75">
        <f t="shared" si="38"/>
        <v>0</v>
      </c>
      <c r="J455" s="76">
        <f t="shared" si="39"/>
        <v>0</v>
      </c>
    </row>
    <row r="456" spans="6:10" ht="21.95" customHeight="1">
      <c r="F456" s="72">
        <f t="shared" si="35"/>
        <v>0</v>
      </c>
      <c r="G456" s="73">
        <f t="shared" si="36"/>
        <v>0</v>
      </c>
      <c r="H456" s="74">
        <f t="shared" si="37"/>
        <v>0</v>
      </c>
      <c r="I456" s="75">
        <f t="shared" si="38"/>
        <v>0</v>
      </c>
      <c r="J456" s="76">
        <f t="shared" si="39"/>
        <v>0</v>
      </c>
    </row>
    <row r="457" spans="6:10" ht="21.95" customHeight="1">
      <c r="F457" s="72">
        <f t="shared" si="35"/>
        <v>0</v>
      </c>
      <c r="G457" s="73">
        <f t="shared" si="36"/>
        <v>0</v>
      </c>
      <c r="H457" s="74">
        <f t="shared" si="37"/>
        <v>0</v>
      </c>
      <c r="I457" s="75">
        <f t="shared" si="38"/>
        <v>0</v>
      </c>
      <c r="J457" s="76">
        <f t="shared" si="39"/>
        <v>0</v>
      </c>
    </row>
    <row r="458" spans="6:10" ht="21.95" customHeight="1">
      <c r="F458" s="72">
        <f t="shared" si="35"/>
        <v>0</v>
      </c>
      <c r="G458" s="73">
        <f t="shared" si="36"/>
        <v>0</v>
      </c>
      <c r="H458" s="74">
        <f t="shared" si="37"/>
        <v>0</v>
      </c>
      <c r="I458" s="75">
        <f t="shared" si="38"/>
        <v>0</v>
      </c>
      <c r="J458" s="76">
        <f t="shared" si="39"/>
        <v>0</v>
      </c>
    </row>
    <row r="459" spans="6:10" ht="21.95" customHeight="1">
      <c r="F459" s="72">
        <f t="shared" si="35"/>
        <v>0</v>
      </c>
      <c r="G459" s="73">
        <f t="shared" si="36"/>
        <v>0</v>
      </c>
      <c r="H459" s="74">
        <f t="shared" si="37"/>
        <v>0</v>
      </c>
      <c r="I459" s="75">
        <f t="shared" si="38"/>
        <v>0</v>
      </c>
      <c r="J459" s="76">
        <f t="shared" si="39"/>
        <v>0</v>
      </c>
    </row>
    <row r="460" spans="6:10" ht="21.95" customHeight="1">
      <c r="F460" s="72">
        <f t="shared" si="35"/>
        <v>0</v>
      </c>
      <c r="G460" s="73">
        <f t="shared" si="36"/>
        <v>0</v>
      </c>
      <c r="H460" s="74">
        <f t="shared" si="37"/>
        <v>0</v>
      </c>
      <c r="I460" s="75">
        <f t="shared" si="38"/>
        <v>0</v>
      </c>
      <c r="J460" s="76">
        <f t="shared" si="39"/>
        <v>0</v>
      </c>
    </row>
    <row r="461" spans="6:10" ht="21.95" customHeight="1">
      <c r="F461" s="72">
        <f t="shared" si="35"/>
        <v>0</v>
      </c>
      <c r="G461" s="73">
        <f t="shared" si="36"/>
        <v>0</v>
      </c>
      <c r="H461" s="74">
        <f t="shared" si="37"/>
        <v>0</v>
      </c>
      <c r="I461" s="75">
        <f t="shared" si="38"/>
        <v>0</v>
      </c>
      <c r="J461" s="76">
        <f t="shared" si="39"/>
        <v>0</v>
      </c>
    </row>
    <row r="462" spans="6:10" ht="21.95" customHeight="1">
      <c r="F462" s="72">
        <f t="shared" si="35"/>
        <v>0</v>
      </c>
      <c r="G462" s="73">
        <f t="shared" si="36"/>
        <v>0</v>
      </c>
      <c r="H462" s="74">
        <f t="shared" si="37"/>
        <v>0</v>
      </c>
      <c r="I462" s="75">
        <f t="shared" si="38"/>
        <v>0</v>
      </c>
      <c r="J462" s="76">
        <f t="shared" si="39"/>
        <v>0</v>
      </c>
    </row>
    <row r="463" spans="6:10" ht="21.95" customHeight="1">
      <c r="F463" s="72">
        <f t="shared" si="35"/>
        <v>0</v>
      </c>
      <c r="G463" s="73">
        <f t="shared" si="36"/>
        <v>0</v>
      </c>
      <c r="H463" s="74">
        <f t="shared" si="37"/>
        <v>0</v>
      </c>
      <c r="I463" s="75">
        <f t="shared" si="38"/>
        <v>0</v>
      </c>
      <c r="J463" s="76">
        <f t="shared" si="39"/>
        <v>0</v>
      </c>
    </row>
    <row r="464" spans="6:10" ht="21.95" customHeight="1">
      <c r="F464" s="72">
        <f t="shared" si="35"/>
        <v>0</v>
      </c>
      <c r="G464" s="73">
        <f t="shared" si="36"/>
        <v>0</v>
      </c>
      <c r="H464" s="74">
        <f t="shared" si="37"/>
        <v>0</v>
      </c>
      <c r="I464" s="75">
        <f t="shared" si="38"/>
        <v>0</v>
      </c>
      <c r="J464" s="76">
        <f t="shared" si="39"/>
        <v>0</v>
      </c>
    </row>
    <row r="465" spans="6:10" ht="21.95" customHeight="1">
      <c r="F465" s="72">
        <f t="shared" si="35"/>
        <v>0</v>
      </c>
      <c r="G465" s="73">
        <f t="shared" si="36"/>
        <v>0</v>
      </c>
      <c r="H465" s="74">
        <f t="shared" si="37"/>
        <v>0</v>
      </c>
      <c r="I465" s="75">
        <f t="shared" si="38"/>
        <v>0</v>
      </c>
      <c r="J465" s="76">
        <f t="shared" si="39"/>
        <v>0</v>
      </c>
    </row>
    <row r="466" spans="6:10" ht="21.95" customHeight="1">
      <c r="F466" s="72">
        <f t="shared" si="35"/>
        <v>0</v>
      </c>
      <c r="G466" s="73">
        <f t="shared" si="36"/>
        <v>0</v>
      </c>
      <c r="H466" s="74">
        <f t="shared" si="37"/>
        <v>0</v>
      </c>
      <c r="I466" s="75">
        <f t="shared" si="38"/>
        <v>0</v>
      </c>
      <c r="J466" s="76">
        <f t="shared" si="39"/>
        <v>0</v>
      </c>
    </row>
    <row r="467" spans="6:10" ht="21.95" customHeight="1">
      <c r="F467" s="72">
        <f t="shared" si="35"/>
        <v>0</v>
      </c>
      <c r="G467" s="73">
        <f t="shared" si="36"/>
        <v>0</v>
      </c>
      <c r="H467" s="74">
        <f t="shared" si="37"/>
        <v>0</v>
      </c>
      <c r="I467" s="75">
        <f t="shared" si="38"/>
        <v>0</v>
      </c>
      <c r="J467" s="76">
        <f t="shared" si="39"/>
        <v>0</v>
      </c>
    </row>
    <row r="468" spans="6:10" ht="21.95" customHeight="1">
      <c r="F468" s="72">
        <f t="shared" si="35"/>
        <v>0</v>
      </c>
      <c r="G468" s="73">
        <f t="shared" si="36"/>
        <v>0</v>
      </c>
      <c r="H468" s="74">
        <f t="shared" si="37"/>
        <v>0</v>
      </c>
      <c r="I468" s="75">
        <f t="shared" si="38"/>
        <v>0</v>
      </c>
      <c r="J468" s="76">
        <f t="shared" si="39"/>
        <v>0</v>
      </c>
    </row>
    <row r="469" spans="6:10" ht="21.95" customHeight="1">
      <c r="F469" s="72">
        <f t="shared" si="35"/>
        <v>0</v>
      </c>
      <c r="G469" s="73">
        <f t="shared" si="36"/>
        <v>0</v>
      </c>
      <c r="H469" s="74">
        <f t="shared" si="37"/>
        <v>0</v>
      </c>
      <c r="I469" s="75">
        <f t="shared" si="38"/>
        <v>0</v>
      </c>
      <c r="J469" s="76">
        <f t="shared" si="39"/>
        <v>0</v>
      </c>
    </row>
    <row r="470" spans="6:10" ht="21.95" customHeight="1">
      <c r="F470" s="72">
        <f t="shared" si="35"/>
        <v>0</v>
      </c>
      <c r="G470" s="73">
        <f t="shared" si="36"/>
        <v>0</v>
      </c>
      <c r="H470" s="74">
        <f t="shared" si="37"/>
        <v>0</v>
      </c>
      <c r="I470" s="75">
        <f t="shared" si="38"/>
        <v>0</v>
      </c>
      <c r="J470" s="76">
        <f t="shared" si="39"/>
        <v>0</v>
      </c>
    </row>
    <row r="471" spans="6:10" ht="21.95" customHeight="1">
      <c r="F471" s="72">
        <f t="shared" si="35"/>
        <v>0</v>
      </c>
      <c r="G471" s="73">
        <f t="shared" si="36"/>
        <v>0</v>
      </c>
      <c r="H471" s="74">
        <f t="shared" si="37"/>
        <v>0</v>
      </c>
      <c r="I471" s="75">
        <f t="shared" si="38"/>
        <v>0</v>
      </c>
      <c r="J471" s="76">
        <f t="shared" si="39"/>
        <v>0</v>
      </c>
    </row>
    <row r="472" spans="6:10" ht="21.95" customHeight="1">
      <c r="F472" s="72">
        <f t="shared" si="35"/>
        <v>0</v>
      </c>
      <c r="G472" s="73">
        <f t="shared" si="36"/>
        <v>0</v>
      </c>
      <c r="H472" s="74">
        <f t="shared" si="37"/>
        <v>0</v>
      </c>
      <c r="I472" s="75">
        <f t="shared" si="38"/>
        <v>0</v>
      </c>
      <c r="J472" s="76">
        <f t="shared" si="39"/>
        <v>0</v>
      </c>
    </row>
    <row r="473" spans="6:10" ht="21.95" customHeight="1">
      <c r="F473" s="72">
        <f t="shared" si="35"/>
        <v>0</v>
      </c>
      <c r="G473" s="73">
        <f t="shared" si="36"/>
        <v>0</v>
      </c>
      <c r="H473" s="74">
        <f t="shared" si="37"/>
        <v>0</v>
      </c>
      <c r="I473" s="75">
        <f t="shared" si="38"/>
        <v>0</v>
      </c>
      <c r="J473" s="76">
        <f t="shared" si="39"/>
        <v>0</v>
      </c>
    </row>
    <row r="474" spans="6:10" ht="21.95" customHeight="1">
      <c r="F474" s="72">
        <f t="shared" si="35"/>
        <v>0</v>
      </c>
      <c r="G474" s="73">
        <f t="shared" si="36"/>
        <v>0</v>
      </c>
      <c r="H474" s="74">
        <f t="shared" si="37"/>
        <v>0</v>
      </c>
      <c r="I474" s="75">
        <f t="shared" si="38"/>
        <v>0</v>
      </c>
      <c r="J474" s="76">
        <f t="shared" si="39"/>
        <v>0</v>
      </c>
    </row>
    <row r="475" spans="6:10" ht="21.95" customHeight="1">
      <c r="F475" s="72">
        <f t="shared" si="35"/>
        <v>0</v>
      </c>
      <c r="G475" s="73">
        <f t="shared" si="36"/>
        <v>0</v>
      </c>
      <c r="H475" s="74">
        <f t="shared" si="37"/>
        <v>0</v>
      </c>
      <c r="I475" s="75">
        <f t="shared" si="38"/>
        <v>0</v>
      </c>
      <c r="J475" s="76">
        <f t="shared" si="39"/>
        <v>0</v>
      </c>
    </row>
    <row r="476" spans="6:10" ht="21.95" customHeight="1">
      <c r="F476" s="72">
        <f t="shared" si="35"/>
        <v>0</v>
      </c>
      <c r="G476" s="73">
        <f t="shared" si="36"/>
        <v>0</v>
      </c>
      <c r="H476" s="74">
        <f t="shared" si="37"/>
        <v>0</v>
      </c>
      <c r="I476" s="75">
        <f t="shared" si="38"/>
        <v>0</v>
      </c>
      <c r="J476" s="76">
        <f t="shared" si="39"/>
        <v>0</v>
      </c>
    </row>
    <row r="477" spans="6:10" ht="21.95" customHeight="1">
      <c r="F477" s="72">
        <f t="shared" si="35"/>
        <v>0</v>
      </c>
      <c r="G477" s="73">
        <f t="shared" si="36"/>
        <v>0</v>
      </c>
      <c r="H477" s="74">
        <f t="shared" si="37"/>
        <v>0</v>
      </c>
      <c r="I477" s="75">
        <f t="shared" si="38"/>
        <v>0</v>
      </c>
      <c r="J477" s="76">
        <f t="shared" si="39"/>
        <v>0</v>
      </c>
    </row>
    <row r="478" spans="6:10" ht="21.95" customHeight="1">
      <c r="F478" s="72">
        <f t="shared" si="35"/>
        <v>0</v>
      </c>
      <c r="G478" s="73">
        <f t="shared" si="36"/>
        <v>0</v>
      </c>
      <c r="H478" s="74">
        <f t="shared" si="37"/>
        <v>0</v>
      </c>
      <c r="I478" s="75">
        <f t="shared" si="38"/>
        <v>0</v>
      </c>
      <c r="J478" s="76">
        <f t="shared" si="39"/>
        <v>0</v>
      </c>
    </row>
    <row r="479" spans="6:10" ht="21.95" customHeight="1">
      <c r="F479" s="72">
        <f t="shared" si="35"/>
        <v>0</v>
      </c>
      <c r="G479" s="73">
        <f t="shared" si="36"/>
        <v>0</v>
      </c>
      <c r="H479" s="74">
        <f t="shared" si="37"/>
        <v>0</v>
      </c>
      <c r="I479" s="75">
        <f t="shared" si="38"/>
        <v>0</v>
      </c>
      <c r="J479" s="76">
        <f t="shared" si="39"/>
        <v>0</v>
      </c>
    </row>
    <row r="480" spans="6:10" ht="21.95" customHeight="1">
      <c r="F480" s="72">
        <f t="shared" si="35"/>
        <v>0</v>
      </c>
      <c r="G480" s="73">
        <f t="shared" si="36"/>
        <v>0</v>
      </c>
      <c r="H480" s="74">
        <f t="shared" si="37"/>
        <v>0</v>
      </c>
      <c r="I480" s="75">
        <f t="shared" si="38"/>
        <v>0</v>
      </c>
      <c r="J480" s="76">
        <f t="shared" si="39"/>
        <v>0</v>
      </c>
    </row>
    <row r="481" spans="6:10" ht="21.95" customHeight="1">
      <c r="F481" s="72">
        <f t="shared" si="35"/>
        <v>0</v>
      </c>
      <c r="G481" s="73">
        <f t="shared" si="36"/>
        <v>0</v>
      </c>
      <c r="H481" s="74">
        <f t="shared" si="37"/>
        <v>0</v>
      </c>
      <c r="I481" s="75">
        <f t="shared" si="38"/>
        <v>0</v>
      </c>
      <c r="J481" s="76">
        <f t="shared" si="39"/>
        <v>0</v>
      </c>
    </row>
    <row r="482" spans="6:10" ht="21.95" customHeight="1">
      <c r="F482" s="72">
        <f t="shared" si="35"/>
        <v>0</v>
      </c>
      <c r="G482" s="73">
        <f t="shared" si="36"/>
        <v>0</v>
      </c>
      <c r="H482" s="74">
        <f t="shared" si="37"/>
        <v>0</v>
      </c>
      <c r="I482" s="75">
        <f t="shared" si="38"/>
        <v>0</v>
      </c>
      <c r="J482" s="76">
        <f t="shared" si="39"/>
        <v>0</v>
      </c>
    </row>
    <row r="483" spans="6:10" ht="21.95" customHeight="1">
      <c r="F483" s="72">
        <f t="shared" si="35"/>
        <v>0</v>
      </c>
      <c r="G483" s="73">
        <f t="shared" si="36"/>
        <v>0</v>
      </c>
      <c r="H483" s="74">
        <f t="shared" si="37"/>
        <v>0</v>
      </c>
      <c r="I483" s="75">
        <f t="shared" si="38"/>
        <v>0</v>
      </c>
      <c r="J483" s="76">
        <f t="shared" si="39"/>
        <v>0</v>
      </c>
    </row>
    <row r="484" spans="6:10" ht="21.95" customHeight="1">
      <c r="F484" s="72">
        <f t="shared" si="35"/>
        <v>0</v>
      </c>
      <c r="G484" s="73">
        <f t="shared" si="36"/>
        <v>0</v>
      </c>
      <c r="H484" s="74">
        <f t="shared" si="37"/>
        <v>0</v>
      </c>
      <c r="I484" s="75">
        <f t="shared" si="38"/>
        <v>0</v>
      </c>
      <c r="J484" s="76">
        <f t="shared" si="39"/>
        <v>0</v>
      </c>
    </row>
    <row r="485" spans="6:10" ht="21.95" customHeight="1">
      <c r="F485" s="72">
        <f t="shared" si="35"/>
        <v>0</v>
      </c>
      <c r="G485" s="73">
        <f t="shared" si="36"/>
        <v>0</v>
      </c>
      <c r="H485" s="74">
        <f t="shared" si="37"/>
        <v>0</v>
      </c>
      <c r="I485" s="75">
        <f t="shared" si="38"/>
        <v>0</v>
      </c>
      <c r="J485" s="76">
        <f t="shared" si="39"/>
        <v>0</v>
      </c>
    </row>
    <row r="486" spans="6:10" ht="21.95" customHeight="1">
      <c r="F486" s="72">
        <f t="shared" si="35"/>
        <v>0</v>
      </c>
      <c r="G486" s="73">
        <f t="shared" si="36"/>
        <v>0</v>
      </c>
      <c r="H486" s="74">
        <f t="shared" si="37"/>
        <v>0</v>
      </c>
      <c r="I486" s="75">
        <f t="shared" si="38"/>
        <v>0</v>
      </c>
      <c r="J486" s="76">
        <f t="shared" si="39"/>
        <v>0</v>
      </c>
    </row>
    <row r="487" spans="6:10" ht="21.95" customHeight="1">
      <c r="F487" s="72">
        <f t="shared" si="35"/>
        <v>0</v>
      </c>
      <c r="G487" s="73">
        <f t="shared" si="36"/>
        <v>0</v>
      </c>
      <c r="H487" s="74">
        <f t="shared" si="37"/>
        <v>0</v>
      </c>
      <c r="I487" s="75">
        <f t="shared" si="38"/>
        <v>0</v>
      </c>
      <c r="J487" s="76">
        <f t="shared" si="39"/>
        <v>0</v>
      </c>
    </row>
    <row r="488" spans="6:10" ht="21.95" customHeight="1">
      <c r="F488" s="72">
        <f t="shared" si="35"/>
        <v>0</v>
      </c>
      <c r="G488" s="73">
        <f t="shared" si="36"/>
        <v>0</v>
      </c>
      <c r="H488" s="74">
        <f t="shared" si="37"/>
        <v>0</v>
      </c>
      <c r="I488" s="75">
        <f t="shared" si="38"/>
        <v>0</v>
      </c>
      <c r="J488" s="76">
        <f t="shared" si="39"/>
        <v>0</v>
      </c>
    </row>
    <row r="489" spans="6:10" ht="21.95" customHeight="1">
      <c r="F489" s="72">
        <f t="shared" si="35"/>
        <v>0</v>
      </c>
      <c r="G489" s="73">
        <f t="shared" si="36"/>
        <v>0</v>
      </c>
      <c r="H489" s="74">
        <f t="shared" si="37"/>
        <v>0</v>
      </c>
      <c r="I489" s="75">
        <f t="shared" si="38"/>
        <v>0</v>
      </c>
      <c r="J489" s="76">
        <f t="shared" si="39"/>
        <v>0</v>
      </c>
    </row>
    <row r="490" spans="6:10" ht="21.95" customHeight="1">
      <c r="F490" s="72">
        <f t="shared" si="35"/>
        <v>0</v>
      </c>
      <c r="G490" s="73">
        <f t="shared" si="36"/>
        <v>0</v>
      </c>
      <c r="H490" s="74">
        <f t="shared" si="37"/>
        <v>0</v>
      </c>
      <c r="I490" s="75">
        <f t="shared" si="38"/>
        <v>0</v>
      </c>
      <c r="J490" s="76">
        <f t="shared" si="39"/>
        <v>0</v>
      </c>
    </row>
    <row r="491" spans="6:10" ht="21.95" customHeight="1">
      <c r="F491" s="72">
        <f t="shared" si="35"/>
        <v>0</v>
      </c>
      <c r="G491" s="73">
        <f t="shared" si="36"/>
        <v>0</v>
      </c>
      <c r="H491" s="74">
        <f t="shared" si="37"/>
        <v>0</v>
      </c>
      <c r="I491" s="75">
        <f t="shared" si="38"/>
        <v>0</v>
      </c>
      <c r="J491" s="76">
        <f t="shared" si="39"/>
        <v>0</v>
      </c>
    </row>
    <row r="492" spans="6:10" ht="21.95" customHeight="1">
      <c r="F492" s="72">
        <f t="shared" si="35"/>
        <v>0</v>
      </c>
      <c r="G492" s="73">
        <f t="shared" si="36"/>
        <v>0</v>
      </c>
      <c r="H492" s="74">
        <f t="shared" si="37"/>
        <v>0</v>
      </c>
      <c r="I492" s="75">
        <f t="shared" si="38"/>
        <v>0</v>
      </c>
      <c r="J492" s="76">
        <f t="shared" si="39"/>
        <v>0</v>
      </c>
    </row>
    <row r="493" spans="6:10" ht="21.95" customHeight="1">
      <c r="F493" s="72">
        <f t="shared" si="35"/>
        <v>0</v>
      </c>
      <c r="G493" s="73">
        <f t="shared" si="36"/>
        <v>0</v>
      </c>
      <c r="H493" s="74">
        <f t="shared" si="37"/>
        <v>0</v>
      </c>
      <c r="I493" s="75">
        <f t="shared" si="38"/>
        <v>0</v>
      </c>
      <c r="J493" s="76">
        <f t="shared" si="39"/>
        <v>0</v>
      </c>
    </row>
    <row r="494" spans="6:10" ht="21.95" customHeight="1">
      <c r="F494" s="72">
        <f t="shared" si="35"/>
        <v>0</v>
      </c>
      <c r="G494" s="73">
        <f t="shared" si="36"/>
        <v>0</v>
      </c>
      <c r="H494" s="74">
        <f t="shared" si="37"/>
        <v>0</v>
      </c>
      <c r="I494" s="75">
        <f t="shared" si="38"/>
        <v>0</v>
      </c>
      <c r="J494" s="76">
        <f t="shared" si="39"/>
        <v>0</v>
      </c>
    </row>
    <row r="495" spans="6:10" ht="21.95" customHeight="1">
      <c r="F495" s="72">
        <f t="shared" si="35"/>
        <v>0</v>
      </c>
      <c r="G495" s="73">
        <f t="shared" si="36"/>
        <v>0</v>
      </c>
      <c r="H495" s="74">
        <f t="shared" si="37"/>
        <v>0</v>
      </c>
      <c r="I495" s="75">
        <f t="shared" si="38"/>
        <v>0</v>
      </c>
      <c r="J495" s="76">
        <f t="shared" si="39"/>
        <v>0</v>
      </c>
    </row>
    <row r="496" spans="6:10" ht="21.95" customHeight="1">
      <c r="F496" s="72">
        <f t="shared" si="35"/>
        <v>0</v>
      </c>
      <c r="G496" s="73">
        <f t="shared" si="36"/>
        <v>0</v>
      </c>
      <c r="H496" s="74">
        <f t="shared" si="37"/>
        <v>0</v>
      </c>
      <c r="I496" s="75">
        <f t="shared" si="38"/>
        <v>0</v>
      </c>
      <c r="J496" s="76">
        <f t="shared" si="39"/>
        <v>0</v>
      </c>
    </row>
    <row r="497" spans="6:10" ht="21.95" customHeight="1">
      <c r="F497" s="72">
        <f t="shared" si="35"/>
        <v>0</v>
      </c>
      <c r="G497" s="73">
        <f t="shared" si="36"/>
        <v>0</v>
      </c>
      <c r="H497" s="74">
        <f t="shared" si="37"/>
        <v>0</v>
      </c>
      <c r="I497" s="75">
        <f t="shared" si="38"/>
        <v>0</v>
      </c>
      <c r="J497" s="76">
        <f t="shared" si="39"/>
        <v>0</v>
      </c>
    </row>
    <row r="498" spans="6:10" ht="21.95" customHeight="1">
      <c r="F498" s="72">
        <f t="shared" si="35"/>
        <v>0</v>
      </c>
      <c r="G498" s="73">
        <f t="shared" si="36"/>
        <v>0</v>
      </c>
      <c r="H498" s="74">
        <f t="shared" si="37"/>
        <v>0</v>
      </c>
      <c r="I498" s="75">
        <f t="shared" si="38"/>
        <v>0</v>
      </c>
      <c r="J498" s="76">
        <f t="shared" si="39"/>
        <v>0</v>
      </c>
    </row>
    <row r="499" spans="6:10" ht="21.95" customHeight="1">
      <c r="F499" s="72">
        <f t="shared" si="35"/>
        <v>0</v>
      </c>
      <c r="G499" s="73">
        <f t="shared" si="36"/>
        <v>0</v>
      </c>
      <c r="H499" s="74">
        <f t="shared" si="37"/>
        <v>0</v>
      </c>
      <c r="I499" s="75">
        <f t="shared" si="38"/>
        <v>0</v>
      </c>
      <c r="J499" s="76">
        <f t="shared" si="39"/>
        <v>0</v>
      </c>
    </row>
    <row r="500" spans="6:10" ht="21.95" customHeight="1">
      <c r="F500" s="72">
        <f t="shared" si="35"/>
        <v>0</v>
      </c>
      <c r="G500" s="73">
        <f t="shared" si="36"/>
        <v>0</v>
      </c>
      <c r="H500" s="74">
        <f t="shared" si="37"/>
        <v>0</v>
      </c>
      <c r="I500" s="75">
        <f t="shared" si="38"/>
        <v>0</v>
      </c>
      <c r="J500" s="76">
        <f t="shared" si="39"/>
        <v>0</v>
      </c>
    </row>
  </sheetData>
  <sheetProtection algorithmName="SHA-512" hashValue="B7E/769KkPxz6kIIEbYVbdq3RRj6yNB/gLmyKIrCm9AWJ/X3q6C6/SXUxnr022K0uYeBuLQChNmsYpd4MGRSDw==" saltValue="L67nFh3QhJey5Tg3nMultg==" spinCount="100000" sheet="1" formatCells="0" formatColumns="0" formatRows="0" sort="0" autoFilter="0" pivotTables="0"/>
  <mergeCells count="16">
    <mergeCell ref="BH2:BK2"/>
    <mergeCell ref="BL2:BO2"/>
    <mergeCell ref="BP2:BS2"/>
    <mergeCell ref="AJ2:AM2"/>
    <mergeCell ref="AN2:AQ2"/>
    <mergeCell ref="AR2:AU2"/>
    <mergeCell ref="AX2:AY2"/>
    <mergeCell ref="AZ2:BC2"/>
    <mergeCell ref="BD2:BG2"/>
    <mergeCell ref="AV2:AW2"/>
    <mergeCell ref="AF2:AI2"/>
    <mergeCell ref="L2:O2"/>
    <mergeCell ref="P2:S2"/>
    <mergeCell ref="T2:W2"/>
    <mergeCell ref="X2:AA2"/>
    <mergeCell ref="AB2:AE2"/>
  </mergeCells>
  <conditionalFormatting sqref="L3:AA1048576 AF3:AU1048576">
    <cfRule type="cellIs" dxfId="27" priority="9" operator="equal">
      <formula>5</formula>
    </cfRule>
    <cfRule type="cellIs" dxfId="26" priority="10" operator="equal">
      <formula>3</formula>
    </cfRule>
    <cfRule type="cellIs" dxfId="25" priority="11" operator="equal">
      <formula>2</formula>
    </cfRule>
  </conditionalFormatting>
  <conditionalFormatting sqref="AX3:BS1048576">
    <cfRule type="cellIs" dxfId="24" priority="8" operator="equal">
      <formula>4</formula>
    </cfRule>
  </conditionalFormatting>
  <conditionalFormatting sqref="F3:F1048567">
    <cfRule type="cellIs" dxfId="23" priority="7" operator="greaterThan">
      <formula>0</formula>
    </cfRule>
  </conditionalFormatting>
  <conditionalFormatting sqref="G3:G1048567">
    <cfRule type="cellIs" dxfId="22" priority="6" operator="greaterThan">
      <formula>0</formula>
    </cfRule>
  </conditionalFormatting>
  <conditionalFormatting sqref="H3:H1048567">
    <cfRule type="cellIs" dxfId="21" priority="5" operator="lessThan">
      <formula>0</formula>
    </cfRule>
  </conditionalFormatting>
  <conditionalFormatting sqref="I3:I1048567">
    <cfRule type="cellIs" dxfId="20" priority="4" operator="greaterThan">
      <formula>0</formula>
    </cfRule>
  </conditionalFormatting>
  <conditionalFormatting sqref="J3:J1048567">
    <cfRule type="cellIs" dxfId="19" priority="3" operator="greaterThan">
      <formula>0</formula>
    </cfRule>
  </conditionalFormatting>
  <dataValidations xWindow="940" yWindow="787" count="10">
    <dataValidation type="list" allowBlank="1" showInputMessage="1" showErrorMessage="1" sqref="D3:D1894">
      <formula1>StatusList</formula1>
    </dataValidation>
    <dataValidation type="list" allowBlank="1" showInputMessage="1" showErrorMessage="1" errorTitle="Error!!!" error="Nhập sai tên task rồi. Hãy kiểm tra lại nhé" promptTitle="Note!!!" prompt="Nhớ nhập đúng tên task và đúng Project cột bên trái nhé (Nhất là những task EP)" sqref="B3:B500">
      <formula1>TaskNameList</formula1>
    </dataValidation>
    <dataValidation type="list" allowBlank="1" showInputMessage="1" showErrorMessage="1" sqref="E3:E500">
      <formula1>MemberList</formula1>
    </dataValidation>
    <dataValidation type="list" allowBlank="1" showInputMessage="1" showErrorMessage="1" sqref="C3:C500">
      <formula1>ProcessList</formula1>
    </dataValidation>
    <dataValidation type="list" allowBlank="1" showInputMessage="1" showErrorMessage="1" errorTitle="Error!!!" error="Nhập Project không đúng rồi. Hãy kiểm tra lại nhé!!!" promptTitle="Note!!!" prompt="Nhớ nhập đúng tên PJ nhé (Nhất là project EP)!!!" sqref="A3:A500">
      <formula1>PjNameList</formula1>
    </dataValidation>
    <dataValidation type="date" allowBlank="1" showInputMessage="1" showErrorMessage="1" errorTitle="Date Error!!!" error="Invalid date!!!_x000a_Please!!! Enter the date in the format: yyyy/mm/dd_x000a_Ex: 2000/01/01" promptTitle="Note!!!" prompt="Enter the date in the format: yyyy/mm/dd_x000a_Ex: 2000/01/01" sqref="K1:K2 K4:K1048576">
      <formula1>36526</formula1>
      <formula2>2958465</formula2>
    </dataValidation>
    <dataValidation type="date" allowBlank="1" showInputMessage="1" showErrorMessage="1" errorTitle="Date Error!!!" error="Nhập ngày không đúng!!!" promptTitle="Note!!!" prompt="Nhập ngày theo format sau: yyyy/mm/dd_x000a_VD: 2000/01/01" sqref="K3">
      <formula1>36526</formula1>
      <formula2>2958465</formula2>
    </dataValidation>
    <dataValidation type="list" allowBlank="1" showDropDown="1" showInputMessage="1" showErrorMessage="1" errorTitle="Number Error!!!" error="Nhập số không đúng!!!" promptTitle="Note!!!" prompt="Chỉ nhập những số sau:_x000a_ 2 : Thời gian đã Estimate_x000a_ 3 : Thời gian Delay, tức đã hết thời gian Estimate trước đó_x000a_ 5 : Thời gian xin nghỉ, đi trễ (Không tính ngày nghỉ T7,CN, các ngày lễ/tết)" sqref="L1:AA1048576 AF1:AU1048576">
      <formula1>"2,3,5"</formula1>
    </dataValidation>
    <dataValidation type="whole" operator="equal" allowBlank="1" showInputMessage="1" showErrorMessage="1" errorTitle="Number Error!!!" error="Nhập số không đúng!!!" promptTitle="Note!!!" prompt="Chỉ nhập số 4: Thời gian tính OT và chỉ tính sau 5:30 PM" sqref="AX1:BS1048576">
      <formula1>4</formula1>
    </dataValidation>
    <dataValidation type="textLength" operator="equal" allowBlank="1" showInputMessage="1" showErrorMessage="1" errorTitle="Error!!!" error="Không nhập vào đây!!!" promptTitle="Note!!!" prompt="Không nhập vào đây!!!" sqref="AB1:AE1048576 AV1:AW1048576 F1:J1048576">
      <formula1>0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D0F66D89-AF65-43E4-AB75-3E97F4245055}">
            <xm:f>$A3=Data!$B$25</xm:f>
            <x14:dxf>
              <fill>
                <patternFill>
                  <bgColor theme="2" tint="-0.24994659260841701"/>
                </patternFill>
              </fill>
            </x14:dxf>
          </x14:cfRule>
          <x14:cfRule type="expression" priority="2" id="{D18420FA-2F6B-49C4-822F-73D0AAC76428}">
            <xm:f>OR(AND($K3&lt;&gt;$K2,$K3&lt;&gt;""),AND($K3&lt;&gt;"",$A2=Data!$B$25,$K3=$K2))</xm:f>
            <x14:dxf>
              <fill>
                <patternFill>
                  <bgColor theme="5" tint="0.39994506668294322"/>
                </patternFill>
              </fill>
            </x14:dxf>
          </x14:cfRule>
          <xm:sqref>C78:E121 A78:A122 A86:E145 A146:A179 C146:E179 A161:E1048567 A3:E77 K3:K1048567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940" yWindow="787" count="4">
        <x14:dataValidation type="list" allowBlank="1" showInputMessage="1" showErrorMessage="1">
          <x14:formula1>
            <xm:f>Data!$B$2:$B$34</xm:f>
          </x14:formula1>
          <xm:sqref>A501:A1894</xm:sqref>
        </x14:dataValidation>
        <x14:dataValidation type="list" allowBlank="1" showInputMessage="1" showErrorMessage="1">
          <x14:formula1>
            <xm:f>Data!$C$2:$C$56</xm:f>
          </x14:formula1>
          <xm:sqref>B501:B1048576</xm:sqref>
        </x14:dataValidation>
        <x14:dataValidation type="list" allowBlank="1" showInputMessage="1" showErrorMessage="1">
          <x14:formula1>
            <xm:f>Data!$D$3:$D$25</xm:f>
          </x14:formula1>
          <xm:sqref>E501:E1894</xm:sqref>
        </x14:dataValidation>
        <x14:dataValidation type="list" allowBlank="1" showInputMessage="1" showErrorMessage="1">
          <x14:formula1>
            <xm:f>Data!$F$2:$F$56</xm:f>
          </x14:formula1>
          <xm:sqref>C501:C1894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7030A0"/>
  </sheetPr>
  <dimension ref="A1:S36"/>
  <sheetViews>
    <sheetView showGridLines="0" tabSelected="1" zoomScaleNormal="100" workbookViewId="0">
      <selection activeCell="C3" sqref="C3"/>
    </sheetView>
  </sheetViews>
  <sheetFormatPr defaultRowHeight="21.95" customHeight="1"/>
  <cols>
    <col min="1" max="1" width="18.140625" style="86" bestFit="1" customWidth="1"/>
    <col min="2" max="2" width="25.140625" style="84" bestFit="1" customWidth="1"/>
    <col min="3" max="3" width="30.28515625" style="84" bestFit="1" customWidth="1"/>
    <col min="4" max="4" width="40.140625" style="84" bestFit="1" customWidth="1"/>
    <col min="5" max="5" width="9.140625" style="84"/>
    <col min="6" max="6" width="22.5703125" style="84" customWidth="1"/>
    <col min="7" max="7" width="24" style="84" customWidth="1"/>
    <col min="8" max="8" width="54" style="84" customWidth="1"/>
    <col min="9" max="9" width="0" style="84" hidden="1" customWidth="1"/>
    <col min="10" max="16384" width="9.140625" style="84"/>
  </cols>
  <sheetData>
    <row r="1" spans="1:19" ht="21.95" customHeight="1">
      <c r="A1" s="77" t="s">
        <v>22</v>
      </c>
      <c r="B1" s="23" t="s">
        <v>188</v>
      </c>
      <c r="C1" s="23"/>
      <c r="D1" s="23"/>
      <c r="E1" s="146"/>
      <c r="F1" s="146"/>
      <c r="G1" s="146"/>
      <c r="H1" s="146"/>
    </row>
    <row r="2" spans="1:19" ht="21.95" customHeight="1">
      <c r="A2" s="77" t="s">
        <v>6</v>
      </c>
      <c r="B2" s="23" t="s">
        <v>214</v>
      </c>
      <c r="C2" s="23"/>
      <c r="D2" s="23"/>
      <c r="E2" s="146"/>
      <c r="F2" s="146"/>
      <c r="G2" s="146"/>
      <c r="H2" s="146"/>
    </row>
    <row r="3" spans="1:19" ht="21.95" customHeight="1">
      <c r="A3" s="77" t="s">
        <v>5</v>
      </c>
      <c r="B3" s="23" t="s">
        <v>188</v>
      </c>
      <c r="C3" s="23"/>
      <c r="D3" s="23" t="s">
        <v>148</v>
      </c>
      <c r="E3" s="146"/>
      <c r="F3" s="146"/>
      <c r="G3" s="146"/>
      <c r="H3" s="146"/>
    </row>
    <row r="4" spans="1:19" ht="21.95" customHeight="1">
      <c r="A4" s="77" t="s">
        <v>7</v>
      </c>
      <c r="B4" s="24">
        <f ca="1">TODAY()</f>
        <v>45860</v>
      </c>
      <c r="C4" s="23" t="s">
        <v>21</v>
      </c>
      <c r="D4" s="23"/>
      <c r="E4" s="78"/>
      <c r="F4" s="78"/>
      <c r="G4" s="78"/>
      <c r="H4" s="78"/>
    </row>
    <row r="5" spans="1:19" ht="21.95" hidden="1" customHeight="1">
      <c r="A5" s="77" t="s">
        <v>9</v>
      </c>
      <c r="B5" s="23">
        <v>2</v>
      </c>
      <c r="C5" s="23"/>
      <c r="D5" s="23"/>
      <c r="E5" s="78"/>
      <c r="F5" s="78"/>
      <c r="G5" s="78"/>
      <c r="H5" s="78"/>
    </row>
    <row r="6" spans="1:19" ht="21.95" hidden="1" customHeight="1">
      <c r="A6" s="77" t="s">
        <v>8</v>
      </c>
      <c r="B6" s="23">
        <v>4</v>
      </c>
      <c r="C6" s="23"/>
      <c r="D6" s="23"/>
      <c r="E6" s="78"/>
      <c r="F6" s="78"/>
      <c r="G6" s="78"/>
      <c r="H6" s="78"/>
    </row>
    <row r="7" spans="1:19" ht="21.95" hidden="1" customHeight="1">
      <c r="A7" s="77" t="s">
        <v>10</v>
      </c>
      <c r="B7" s="23">
        <v>3</v>
      </c>
      <c r="C7" s="23"/>
      <c r="D7" s="23"/>
      <c r="E7" s="78"/>
      <c r="F7" s="78"/>
      <c r="G7" s="78"/>
      <c r="H7" s="78"/>
    </row>
    <row r="8" spans="1:19" ht="21.95" hidden="1" customHeight="1">
      <c r="A8" s="77" t="s">
        <v>11</v>
      </c>
      <c r="B8" s="23">
        <v>100</v>
      </c>
      <c r="C8" s="23"/>
      <c r="D8" s="23"/>
      <c r="E8" s="78"/>
      <c r="F8" s="78"/>
      <c r="G8" s="78"/>
      <c r="H8" s="78"/>
    </row>
    <row r="9" spans="1:19" ht="90.75" hidden="1" customHeight="1">
      <c r="A9" s="77" t="s">
        <v>24</v>
      </c>
      <c r="B9" s="25" t="s">
        <v>23</v>
      </c>
      <c r="C9" s="23"/>
      <c r="D9" s="23"/>
      <c r="E9" s="78"/>
      <c r="F9" s="78"/>
      <c r="G9" s="78"/>
      <c r="H9" s="78"/>
    </row>
    <row r="10" spans="1:19" ht="21.95" customHeight="1">
      <c r="A10" s="79" t="s">
        <v>25</v>
      </c>
      <c r="B10" s="23" t="s">
        <v>56</v>
      </c>
      <c r="C10" s="23"/>
      <c r="D10" s="23"/>
      <c r="E10" s="78"/>
      <c r="F10" s="78"/>
      <c r="G10" s="78"/>
      <c r="H10" s="78"/>
    </row>
    <row r="11" spans="1:19" ht="21.95" customHeight="1">
      <c r="A11" s="80" t="s">
        <v>12</v>
      </c>
      <c r="B11" s="80" t="s">
        <v>13</v>
      </c>
      <c r="C11" s="80" t="s">
        <v>98</v>
      </c>
      <c r="D11" s="80" t="s">
        <v>20</v>
      </c>
      <c r="E11" s="80" t="s">
        <v>16</v>
      </c>
      <c r="F11" s="80" t="s">
        <v>17</v>
      </c>
      <c r="G11" s="80" t="s">
        <v>18</v>
      </c>
      <c r="H11" s="80" t="s">
        <v>19</v>
      </c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</row>
    <row r="12" spans="1:19" ht="21.95" customHeight="1">
      <c r="A12" s="81" t="s">
        <v>14</v>
      </c>
      <c r="B12" s="147" t="str">
        <f ca="1">B3&amp;" "&amp;TEXT(B4,C4)</f>
        <v>wwNVChuc 2025-07-22</v>
      </c>
      <c r="C12" s="147"/>
      <c r="D12" s="147"/>
      <c r="E12" s="147"/>
      <c r="F12" s="147"/>
      <c r="G12" s="147"/>
      <c r="H12" s="147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</row>
    <row r="13" spans="1:19" ht="21.95" customHeight="1">
      <c r="A13" s="82">
        <v>1</v>
      </c>
      <c r="B13" s="83" t="s">
        <v>41</v>
      </c>
      <c r="C13" s="83" t="s">
        <v>213</v>
      </c>
      <c r="D13" s="83" t="s">
        <v>48</v>
      </c>
      <c r="E13" s="83"/>
      <c r="F13" s="148" t="s">
        <v>23</v>
      </c>
      <c r="G13" s="151" t="s">
        <v>15</v>
      </c>
      <c r="H13" s="154" t="str">
        <f ca="1">IF(D13="","",
(
B2&amp;CHAR(10)
&amp;IF(SUM(I13:I22)&gt;=1,C2&amp;CHAR(10),"")
&amp;
"["&amp;TRIM(B3)&amp;"]"&amp;" [Daily Report]"&amp;"["&amp;TEXT(B4,C4)&amp;"]"&amp;CHAR(10)
&amp;"1. Done Tasks"&amp;CHAR(10)
&amp;IF(D13="",""," - "&amp;"["&amp;B13&amp;"] "&amp;"["&amp;D13&amp;"] "&amp;"["&amp;IF(E13&lt;&gt;"",E13,80)&amp;"%] "&amp;C13&amp;CHAR(10))
&amp;IF(D14="",""," - "&amp;"["&amp;B14&amp;"] "&amp;"["&amp;D14&amp;"] "&amp;"["&amp;IF(E14&lt;&gt;"",E14,80)&amp;"%] "&amp;C14&amp;CHAR(10))
&amp;IF(D15="",""," - "&amp;"["&amp;B15&amp;"] "&amp;"["&amp;D15&amp;"] "&amp;"["&amp;IF(E15&lt;&gt;"",E15,80)&amp;"%] "&amp;C15&amp;CHAR(10))
&amp;IF(D16="",""," - "&amp;"["&amp;B16&amp;"] "&amp;"["&amp;D16&amp;"] "&amp;"["&amp;IF(E16&lt;&gt;"",E16,80)&amp;"%] "&amp;C16&amp;CHAR(10))
&amp;IF(D17="",""," - "&amp;"["&amp;B17&amp;"] "&amp;"["&amp;D17&amp;"] "&amp;"["&amp;IF(E17&lt;&gt;"",E17,80)&amp;"%] "&amp;C17&amp;CHAR(10))
&amp;IF(D18="",""," - "&amp;"["&amp;B18&amp;"] "&amp;"["&amp;D18&amp;"] "&amp;"["&amp;IF(E18&lt;&gt;"",E18,80)&amp;"%] "&amp;C18&amp;CHAR(10))
&amp;IF(D19="",""," - "&amp;"["&amp;B19&amp;"] "&amp;"["&amp;D19&amp;"] "&amp;"["&amp;IF(E19&lt;&gt;"",E19,80)&amp;"%] "&amp;C19&amp;CHAR(10))
&amp;IF(D20="",""," - "&amp;"["&amp;B20&amp;"] "&amp;"["&amp;D20&amp;"] "&amp;"["&amp;IF(E20&lt;&gt;"",E20,80)&amp;"%] "&amp;C20&amp;CHAR(10))
&amp;IF(D21="",""," - "&amp;"["&amp;B21&amp;"] "&amp;"["&amp;D21&amp;"] "&amp;"["&amp;IF(E21&lt;&gt;"",E21,80)&amp;"%] "&amp;C21&amp;CHAR(10))
&amp;IF(D22="",""," - "&amp;"["&amp;B22&amp;"] "&amp;"["&amp;D22&amp;"] "&amp;"["&amp;IF(E22&lt;&gt;"",E22,80)&amp;"%] "&amp;C22&amp;CHAR(10))
&amp;IF(D23="",""," - "&amp;"["&amp;B23&amp;"] "&amp;"["&amp;D23&amp;"] "&amp;"["&amp;IF(E23&lt;&gt;"",E23,80)&amp;"%] "&amp;C23&amp;CHAR(10))
&amp;IF(D24="",""," - "&amp;"["&amp;B24&amp;"] "&amp;"["&amp;D24&amp;"] "&amp;"["&amp;IF(E24&lt;&gt;"",E24,80)&amp;"%] "&amp;C24&amp;CHAR(10))
&amp;IF(D25="",""," - "&amp;"["&amp;B25&amp;"] "&amp;"["&amp;D25&amp;"] "&amp;"["&amp;IF(E25&lt;&gt;"",E25,80)&amp;"%] "&amp;C25&amp;CHAR(10))
&amp;IF(D26="",""," - "&amp;"["&amp;B26&amp;"] "&amp;"["&amp;D26&amp;"] "&amp;"["&amp;IF(E26&lt;&gt;"",E26,80)&amp;"%] "&amp;C26&amp;CHAR(10))
&amp;IF(D27="",""," - "&amp;"["&amp;B27&amp;"] "&amp;"["&amp;D27&amp;"] "&amp;"["&amp;IF(E27&lt;&gt;"",E27,80)&amp;"%] "&amp;C27&amp;CHAR(10))
&amp;IF(D28="",""," - "&amp;"["&amp;B28&amp;"] "&amp;"["&amp;D28&amp;"] "&amp;"["&amp;IF(E28&lt;&gt;"",E28,80)&amp;"%] "&amp;C28&amp;CHAR(10))
&amp;IF(D29="",""," - "&amp;"["&amp;B29&amp;"] "&amp;"["&amp;D29&amp;"] "&amp;"["&amp;IF(E29&lt;&gt;"",E29,80)&amp;"%] "&amp;C29&amp;CHAR(10))
&amp;IF(D30="",""," - "&amp;"["&amp;B30&amp;"] "&amp;"["&amp;D30&amp;"] "&amp;"["&amp;IF(E30&lt;&gt;"",E30,80)&amp;"%] "&amp;C30&amp;CHAR(10))
&amp;IF(D31="",""," - "&amp;"["&amp;B31&amp;"] "&amp;"["&amp;D31&amp;"] "&amp;"["&amp;IF(E31&lt;&gt;"",E31,80)&amp;"%] "&amp;C31&amp;CHAR(10))
&amp;IF(D32="",""," - "&amp;"["&amp;B32&amp;"] "&amp;"["&amp;D32&amp;"] "&amp;"["&amp;IF(E32&lt;&gt;"",E32,80)&amp;"%] "&amp;C32&amp;CHAR(10))
&amp;"2. Next Task"&amp;CHAR(10)
&amp;IF(AND(OR(D13="",E13=80,E13=""),OR(D14="",E14=80,E14=""),OR(D15="",E15=80,E15=""),OR(D16="",E16=80,E16=""),OR(D17="",E17=80,E17=""),OR(D18="",E18=80,E18=""),OR(D19="",E19=80,E19=""),OR(D20="",E20=80,E20=""),OR(D21="",E21=80,E21=""),OR(D22="",E22=80,E22=""),OR(D23="",E23=80,E23=""),OR(D24="",E24=80,E24=""),OR(D25="",E25=80,E25=""),OR(D26="",E26=80,E26=""),OR(D27="",E27=80,E27=""),OR(D28="",E28=80,E28=""),OR(D29="",E29=80,E29=""),OR(D30="",E30=80,E30=""),OR(D31="",E31=80,E31=""),OR(D32="",E32=80,E32=""))," - "&amp;"Waiting for next task"&amp;CHAR(10),IF(OR(D13="",E13=80,E13=""),""," - "&amp;"["&amp;B13&amp;"] "&amp;"["&amp;D13&amp;"] "&amp;C13&amp;CHAR(10)))
&amp;IF(OR(D14="",E14=80,E14=""),""," - "&amp;"["&amp;B14&amp;"] "&amp;"["&amp;D14&amp;"] "&amp;C14&amp;CHAR(10))
&amp;IF(OR(D15="",E15=80,E15=""),""," - "&amp;"["&amp;B15&amp;"] "&amp;"["&amp;D15&amp;"] "&amp;C15&amp;CHAR(10))
&amp;IF(OR(D16="",E16=80,E16=""),""," - "&amp;"["&amp;B16&amp;"] "&amp;"["&amp;D16&amp;"] "&amp;C16&amp;CHAR(10))
&amp;IF(OR(D17="",E17=80,E17=""),""," - "&amp;"["&amp;B17&amp;"] "&amp;"["&amp;D17&amp;"] "&amp;C17&amp;CHAR(10))
&amp;IF(OR(D18="",E18=80,E18=""),""," - "&amp;"["&amp;B18&amp;"] "&amp;"["&amp;D18&amp;"] "&amp;C18&amp;CHAR(10))
&amp;IF(OR(D19="",E19=80,E19=""),""," - "&amp;"["&amp;B19&amp;"] "&amp;"["&amp;D19&amp;"] "&amp;C19&amp;CHAR(10))
&amp;IF(OR(D20="",E20=80,E20=""),""," - "&amp;"["&amp;B20&amp;"] "&amp;"["&amp;D20&amp;"] "&amp;C20&amp;CHAR(10))
&amp;IF(OR(D21="",E21=80,E21=""),""," - "&amp;"["&amp;B21&amp;"] "&amp;"["&amp;D21&amp;"] "&amp;C21&amp;CHAR(10))
&amp;IF(OR(D22="",E22=80,E22=""),""," - "&amp;"["&amp;B22&amp;"] "&amp;"["&amp;D22&amp;"] "&amp;C22&amp;CHAR(10))
&amp;IF(OR(D23="",E23=80,E23=""),""," - "&amp;"["&amp;B23&amp;"] "&amp;"["&amp;D23&amp;"] "&amp;C23&amp;CHAR(10))
&amp;IF(OR(D24="",E24=80,E24=""),""," - "&amp;"["&amp;B24&amp;"] "&amp;"["&amp;D24&amp;"] "&amp;C24&amp;CHAR(10))
&amp;IF(OR(D25="",E25=80,E25=""),""," - "&amp;"["&amp;B25&amp;"] "&amp;"["&amp;D25&amp;"] "&amp;C25&amp;CHAR(10))
&amp;IF(OR(D26="",E26=80,E26=""),""," - "&amp;"["&amp;B26&amp;"] "&amp;"["&amp;D26&amp;"] "&amp;C26&amp;CHAR(10))
&amp;IF(OR(D27="",E27=80,E27=""),""," - "&amp;"["&amp;B27&amp;"] "&amp;"["&amp;D27&amp;"] "&amp;C27&amp;CHAR(10))
&amp;IF(OR(D28="",E28=80,E28=""),""," - "&amp;"["&amp;B28&amp;"] "&amp;"["&amp;D28&amp;"] "&amp;C28&amp;CHAR(10))
&amp;IF(OR(D29="",E29=80,E29=""),""," - "&amp;"["&amp;B29&amp;"] "&amp;"["&amp;D29&amp;"] "&amp;C29&amp;CHAR(10))
&amp;IF(OR(D30="",E30=80,E30=""),""," - "&amp;"["&amp;B30&amp;"] "&amp;"["&amp;D30&amp;"] "&amp;C30&amp;CHAR(10))
&amp;IF(OR(D31="",E31=80,E31=""),""," - "&amp;"["&amp;B31&amp;"] "&amp;"["&amp;D31&amp;"] "&amp;C31&amp;CHAR(10))
&amp;IF(OR(D32="",E32=80,E32=""),""," - "&amp;"["&amp;B32&amp;"] "&amp;"["&amp;D32&amp;"] "&amp;C32&amp;CHAR(10))
&amp;"3. Problems"&amp;CHAR(10)
&amp;F13&amp;CHAR(10)
&amp;"4. Impressions"&amp;CHAR(10)
&amp;" - "&amp;G13&amp;CHAR(10)
&amp;"5. Other"&amp;CHAR(10)
&amp;" - None"&amp;CHAR(10)
&amp;D3
))</f>
        <v>Vũ Mạnh Cườngさん
[wwNVChuc] [Daily Report][2025-07-22]
1. Done Tasks
 - [Office Task] [OTHER] [80%] Support nhập dữ liệu vào hệ thống của Admin.
2. Next Task
 - Waiting for next task
3. Problems
・Problem 1 : 
     -  Cause : 
     -  How to resolve :
     -  Improvement　:  
4. Impressions
 - Thank for your support
5. Other
 - None
Thanks Anhさん.</v>
      </c>
      <c r="I13" s="85">
        <f>IF(LEFT(D13,2)="QC",1,0)</f>
        <v>0</v>
      </c>
      <c r="J13" s="85"/>
      <c r="K13" s="85"/>
      <c r="L13" s="85"/>
      <c r="M13" s="85"/>
      <c r="N13" s="85"/>
      <c r="O13" s="85"/>
      <c r="P13" s="85"/>
      <c r="Q13" s="85"/>
      <c r="R13" s="85"/>
      <c r="S13" s="85"/>
    </row>
    <row r="14" spans="1:19" ht="21.95" customHeight="1">
      <c r="A14" s="82">
        <v>2</v>
      </c>
      <c r="B14" s="83"/>
      <c r="C14" s="83"/>
      <c r="D14" s="83"/>
      <c r="E14" s="83"/>
      <c r="F14" s="149"/>
      <c r="G14" s="152"/>
      <c r="H14" s="154"/>
      <c r="I14" s="85">
        <f t="shared" ref="I14:I22" si="0">IF(LEFT(D14,2)="QC",1,0)</f>
        <v>0</v>
      </c>
      <c r="J14" s="85"/>
      <c r="K14" s="85"/>
      <c r="L14" s="85"/>
      <c r="M14" s="85"/>
      <c r="N14" s="85"/>
      <c r="O14" s="85"/>
      <c r="P14" s="85"/>
      <c r="Q14" s="85"/>
      <c r="R14" s="85"/>
      <c r="S14" s="85"/>
    </row>
    <row r="15" spans="1:19" ht="21.95" customHeight="1">
      <c r="A15" s="82">
        <v>3</v>
      </c>
      <c r="B15" s="83"/>
      <c r="C15" s="83"/>
      <c r="D15" s="83"/>
      <c r="E15" s="83"/>
      <c r="F15" s="149"/>
      <c r="G15" s="152"/>
      <c r="H15" s="154"/>
      <c r="I15" s="85">
        <f t="shared" si="0"/>
        <v>0</v>
      </c>
      <c r="J15" s="85"/>
      <c r="K15" s="85"/>
      <c r="L15" s="85"/>
      <c r="M15" s="85"/>
      <c r="N15" s="85"/>
      <c r="O15" s="85"/>
      <c r="P15" s="85"/>
      <c r="Q15" s="85"/>
      <c r="R15" s="85"/>
      <c r="S15" s="85"/>
    </row>
    <row r="16" spans="1:19" ht="21.95" customHeight="1">
      <c r="A16" s="82">
        <v>4</v>
      </c>
      <c r="B16" s="83"/>
      <c r="C16" s="83"/>
      <c r="D16" s="83"/>
      <c r="E16" s="83"/>
      <c r="F16" s="149"/>
      <c r="G16" s="152"/>
      <c r="H16" s="154"/>
      <c r="I16" s="85">
        <f t="shared" si="0"/>
        <v>0</v>
      </c>
      <c r="J16" s="85"/>
      <c r="K16" s="85"/>
      <c r="L16" s="85"/>
      <c r="M16" s="85"/>
      <c r="N16" s="85"/>
      <c r="O16" s="85"/>
      <c r="P16" s="85"/>
      <c r="Q16" s="85"/>
      <c r="R16" s="85"/>
      <c r="S16" s="85"/>
    </row>
    <row r="17" spans="1:19" ht="21.95" customHeight="1">
      <c r="A17" s="82">
        <v>5</v>
      </c>
      <c r="B17" s="83"/>
      <c r="C17" s="83"/>
      <c r="D17" s="83"/>
      <c r="E17" s="83"/>
      <c r="F17" s="149"/>
      <c r="G17" s="152"/>
      <c r="H17" s="154"/>
      <c r="I17" s="85">
        <f t="shared" si="0"/>
        <v>0</v>
      </c>
      <c r="J17" s="85"/>
      <c r="K17" s="85"/>
      <c r="L17" s="85"/>
      <c r="M17" s="85"/>
      <c r="N17" s="85"/>
      <c r="O17" s="85"/>
      <c r="P17" s="85"/>
      <c r="Q17" s="85"/>
      <c r="R17" s="85"/>
      <c r="S17" s="85"/>
    </row>
    <row r="18" spans="1:19" ht="21.95" customHeight="1">
      <c r="A18" s="82">
        <v>6</v>
      </c>
      <c r="B18" s="83"/>
      <c r="C18" s="83"/>
      <c r="D18" s="83"/>
      <c r="E18" s="83"/>
      <c r="F18" s="149"/>
      <c r="G18" s="152"/>
      <c r="H18" s="154"/>
      <c r="I18" s="85">
        <f t="shared" si="0"/>
        <v>0</v>
      </c>
      <c r="J18" s="85"/>
      <c r="K18" s="85"/>
      <c r="L18" s="85"/>
      <c r="M18" s="85"/>
      <c r="N18" s="85"/>
      <c r="O18" s="85"/>
      <c r="P18" s="85"/>
      <c r="Q18" s="85"/>
      <c r="R18" s="85"/>
      <c r="S18" s="85"/>
    </row>
    <row r="19" spans="1:19" ht="21.95" customHeight="1">
      <c r="A19" s="82">
        <v>7</v>
      </c>
      <c r="B19" s="83"/>
      <c r="C19" s="83"/>
      <c r="D19" s="83"/>
      <c r="E19" s="83"/>
      <c r="F19" s="149"/>
      <c r="G19" s="152"/>
      <c r="H19" s="154"/>
      <c r="I19" s="85">
        <f t="shared" si="0"/>
        <v>0</v>
      </c>
      <c r="J19" s="85"/>
      <c r="K19" s="85"/>
      <c r="L19" s="85"/>
      <c r="M19" s="85"/>
      <c r="N19" s="85"/>
      <c r="O19" s="85"/>
      <c r="P19" s="85"/>
      <c r="Q19" s="85"/>
      <c r="R19" s="85"/>
      <c r="S19" s="85"/>
    </row>
    <row r="20" spans="1:19" ht="21.95" customHeight="1">
      <c r="A20" s="82">
        <v>8</v>
      </c>
      <c r="B20" s="83"/>
      <c r="C20" s="83"/>
      <c r="D20" s="83"/>
      <c r="E20" s="83"/>
      <c r="F20" s="149"/>
      <c r="G20" s="152"/>
      <c r="H20" s="154"/>
      <c r="I20" s="85">
        <f t="shared" si="0"/>
        <v>0</v>
      </c>
      <c r="J20" s="85"/>
      <c r="K20" s="85"/>
      <c r="L20" s="85"/>
      <c r="M20" s="85"/>
      <c r="N20" s="85"/>
      <c r="O20" s="85"/>
      <c r="P20" s="85"/>
      <c r="Q20" s="85"/>
      <c r="R20" s="85"/>
      <c r="S20" s="85"/>
    </row>
    <row r="21" spans="1:19" ht="21.95" customHeight="1">
      <c r="A21" s="82" t="s">
        <v>26</v>
      </c>
      <c r="B21" s="83"/>
      <c r="C21" s="83"/>
      <c r="D21" s="83"/>
      <c r="E21" s="83"/>
      <c r="F21" s="149"/>
      <c r="G21" s="152"/>
      <c r="H21" s="154"/>
      <c r="I21" s="85">
        <f t="shared" si="0"/>
        <v>0</v>
      </c>
      <c r="J21" s="85"/>
      <c r="K21" s="85"/>
      <c r="L21" s="85"/>
      <c r="M21" s="85"/>
      <c r="N21" s="85"/>
      <c r="O21" s="85"/>
      <c r="P21" s="85"/>
      <c r="Q21" s="85"/>
      <c r="R21" s="85"/>
      <c r="S21" s="85"/>
    </row>
    <row r="22" spans="1:19" ht="21.95" customHeight="1">
      <c r="A22" s="82" t="s">
        <v>27</v>
      </c>
      <c r="B22" s="83"/>
      <c r="C22" s="83"/>
      <c r="D22" s="83"/>
      <c r="E22" s="83"/>
      <c r="F22" s="149"/>
      <c r="G22" s="152"/>
      <c r="H22" s="154"/>
      <c r="I22" s="85">
        <f t="shared" si="0"/>
        <v>0</v>
      </c>
      <c r="J22" s="85"/>
      <c r="K22" s="85"/>
      <c r="L22" s="85"/>
      <c r="M22" s="85"/>
      <c r="N22" s="85"/>
      <c r="O22" s="85"/>
      <c r="P22" s="85"/>
      <c r="Q22" s="85"/>
      <c r="R22" s="85"/>
      <c r="S22" s="85"/>
    </row>
    <row r="23" spans="1:19" ht="21.95" customHeight="1">
      <c r="A23" s="82" t="s">
        <v>83</v>
      </c>
      <c r="B23" s="83"/>
      <c r="C23" s="83"/>
      <c r="D23" s="83"/>
      <c r="E23" s="83"/>
      <c r="F23" s="149"/>
      <c r="G23" s="152"/>
      <c r="H23" s="154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</row>
    <row r="24" spans="1:19" ht="21.95" customHeight="1">
      <c r="A24" s="82" t="s">
        <v>84</v>
      </c>
      <c r="B24" s="83"/>
      <c r="C24" s="83"/>
      <c r="D24" s="83"/>
      <c r="E24" s="83"/>
      <c r="F24" s="149"/>
      <c r="G24" s="152"/>
      <c r="H24" s="154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</row>
    <row r="25" spans="1:19" ht="21.95" customHeight="1">
      <c r="A25" s="82" t="s">
        <v>85</v>
      </c>
      <c r="B25" s="83"/>
      <c r="C25" s="83"/>
      <c r="D25" s="83"/>
      <c r="E25" s="83"/>
      <c r="F25" s="149"/>
      <c r="G25" s="152"/>
      <c r="H25" s="154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</row>
    <row r="26" spans="1:19" ht="21.95" customHeight="1">
      <c r="A26" s="82" t="s">
        <v>86</v>
      </c>
      <c r="B26" s="83"/>
      <c r="C26" s="83"/>
      <c r="D26" s="83"/>
      <c r="E26" s="83"/>
      <c r="F26" s="149"/>
      <c r="G26" s="152"/>
      <c r="H26" s="154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</row>
    <row r="27" spans="1:19" ht="21.95" customHeight="1">
      <c r="A27" s="82" t="s">
        <v>87</v>
      </c>
      <c r="B27" s="83"/>
      <c r="C27" s="83"/>
      <c r="D27" s="83"/>
      <c r="E27" s="83"/>
      <c r="F27" s="149"/>
      <c r="G27" s="152"/>
      <c r="H27" s="154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</row>
    <row r="28" spans="1:19" ht="21.95" customHeight="1">
      <c r="A28" s="82" t="s">
        <v>88</v>
      </c>
      <c r="B28" s="83"/>
      <c r="C28" s="83"/>
      <c r="D28" s="83"/>
      <c r="E28" s="83"/>
      <c r="F28" s="149"/>
      <c r="G28" s="152"/>
      <c r="H28" s="154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</row>
    <row r="29" spans="1:19" ht="21.95" customHeight="1">
      <c r="A29" s="82" t="s">
        <v>89</v>
      </c>
      <c r="B29" s="83"/>
      <c r="C29" s="83"/>
      <c r="D29" s="83"/>
      <c r="E29" s="83"/>
      <c r="F29" s="149"/>
      <c r="G29" s="152"/>
      <c r="H29" s="154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</row>
    <row r="30" spans="1:19" ht="21.95" customHeight="1">
      <c r="A30" s="82" t="s">
        <v>90</v>
      </c>
      <c r="B30" s="83"/>
      <c r="C30" s="83"/>
      <c r="D30" s="83"/>
      <c r="E30" s="83"/>
      <c r="F30" s="149"/>
      <c r="G30" s="152"/>
      <c r="H30" s="154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</row>
    <row r="31" spans="1:19" ht="21.95" customHeight="1">
      <c r="A31" s="82" t="s">
        <v>91</v>
      </c>
      <c r="B31" s="83"/>
      <c r="C31" s="83"/>
      <c r="D31" s="83"/>
      <c r="E31" s="83"/>
      <c r="F31" s="149"/>
      <c r="G31" s="152"/>
      <c r="H31" s="154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</row>
    <row r="32" spans="1:19" ht="21.95" customHeight="1">
      <c r="A32" s="82" t="s">
        <v>92</v>
      </c>
      <c r="B32" s="83"/>
      <c r="C32" s="83"/>
      <c r="D32" s="83"/>
      <c r="E32" s="83"/>
      <c r="F32" s="150"/>
      <c r="G32" s="153"/>
      <c r="H32" s="154"/>
      <c r="I32" s="85">
        <f t="shared" ref="I32" si="1">IF(LEFT(D32,2)="QC",1,0)</f>
        <v>0</v>
      </c>
      <c r="J32" s="85"/>
      <c r="K32" s="85"/>
      <c r="L32" s="85"/>
      <c r="M32" s="85"/>
      <c r="N32" s="85"/>
      <c r="O32" s="85"/>
      <c r="P32" s="85"/>
      <c r="Q32" s="85"/>
      <c r="R32" s="85"/>
      <c r="S32" s="85"/>
    </row>
    <row r="33" spans="2:19" ht="21.95" customHeight="1" thickBot="1">
      <c r="H33" s="87"/>
      <c r="I33" s="85"/>
      <c r="J33" s="85"/>
      <c r="K33" s="85"/>
      <c r="L33" s="85"/>
      <c r="M33" s="85"/>
      <c r="N33" s="85"/>
      <c r="O33" s="85"/>
      <c r="P33" s="85"/>
      <c r="Q33" s="85"/>
      <c r="R33" s="85"/>
      <c r="S33" s="85"/>
    </row>
    <row r="34" spans="2:19" ht="26.25" customHeight="1">
      <c r="B34" s="88" t="s">
        <v>65</v>
      </c>
      <c r="C34" s="89"/>
      <c r="D34" s="90"/>
      <c r="H34" s="87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</row>
    <row r="35" spans="2:19" ht="26.25" customHeight="1" thickBot="1">
      <c r="B35" s="91" t="s">
        <v>66</v>
      </c>
      <c r="C35" s="92"/>
      <c r="D35" s="93"/>
      <c r="H35" s="94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</row>
    <row r="36" spans="2:19" ht="21.95" customHeight="1"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</row>
  </sheetData>
  <sheetProtection algorithmName="SHA-512" hashValue="sZBF+JfnPlVFxBXhHZRn7aMWlbK5u/3RaVXfiaFQ+zqTWdauZ5oxjA4EXah5p3VuGnEbT1BGd5dzV6GkDAvXTA==" saltValue="Vd4LMuoyei81tb2HzBtglQ==" spinCount="100000" sheet="1" scenarios="1" formatCells="0"/>
  <protectedRanges>
    <protectedRange sqref="A12" name="Range6_2"/>
  </protectedRanges>
  <mergeCells count="5">
    <mergeCell ref="E1:H3"/>
    <mergeCell ref="B12:H12"/>
    <mergeCell ref="F13:F32"/>
    <mergeCell ref="G13:G32"/>
    <mergeCell ref="H13:H32"/>
  </mergeCells>
  <phoneticPr fontId="1"/>
  <dataValidations count="1">
    <dataValidation type="list" allowBlank="1" showInputMessage="1" showErrorMessage="1" sqref="A12">
      <formula1>OnOffList</formula1>
    </dataValidation>
  </dataValidations>
  <pageMargins left="0.7" right="0.7" top="0.75" bottom="0.75" header="0.3" footer="0.3"/>
  <pageSetup paperSize="9" orientation="portrait" r:id="rId1"/>
  <ignoredErrors>
    <ignoredError sqref="A21:A32" numberStoredAsText="1"/>
  </ignoredErrors>
  <drawing r:id="rId2"/>
  <legacyDrawing r:id="rId3"/>
  <controls>
    <mc:AlternateContent xmlns:mc="http://schemas.openxmlformats.org/markup-compatibility/2006">
      <mc:Choice Requires="x14">
        <control shapeId="3073" r:id="rId4" name="CreateDailyReport">
          <controlPr defaultSize="0" autoLine="0" r:id="rId5">
            <anchor moveWithCells="1">
              <from>
                <xdr:col>4</xdr:col>
                <xdr:colOff>600075</xdr:colOff>
                <xdr:row>0</xdr:row>
                <xdr:rowOff>38100</xdr:rowOff>
              </from>
              <to>
                <xdr:col>6</xdr:col>
                <xdr:colOff>466725</xdr:colOff>
                <xdr:row>2</xdr:row>
                <xdr:rowOff>9525</xdr:rowOff>
              </to>
            </anchor>
          </controlPr>
        </control>
      </mc:Choice>
      <mc:Fallback>
        <control shapeId="3073" r:id="rId4" name="CreateDailyReport"/>
      </mc:Fallback>
    </mc:AlternateContent>
    <mc:AlternateContent xmlns:mc="http://schemas.openxmlformats.org/markup-compatibility/2006">
      <mc:Choice Requires="x14">
        <control shapeId="3082" r:id="rId6" name="CopyClipboard">
          <controlPr defaultSize="0" autoLine="0" r:id="rId7">
            <anchor moveWithCells="1">
              <from>
                <xdr:col>6</xdr:col>
                <xdr:colOff>1057275</xdr:colOff>
                <xdr:row>0</xdr:row>
                <xdr:rowOff>28575</xdr:rowOff>
              </from>
              <to>
                <xdr:col>7</xdr:col>
                <xdr:colOff>1095375</xdr:colOff>
                <xdr:row>2</xdr:row>
                <xdr:rowOff>9525</xdr:rowOff>
              </to>
            </anchor>
          </controlPr>
        </control>
      </mc:Choice>
      <mc:Fallback>
        <control shapeId="3082" r:id="rId6" name="CopyClipboard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1"/>
  </sheetPr>
  <dimension ref="A1:V421"/>
  <sheetViews>
    <sheetView topLeftCell="A13" zoomScaleNormal="100" workbookViewId="0">
      <selection activeCell="C29" sqref="C29"/>
    </sheetView>
  </sheetViews>
  <sheetFormatPr defaultColWidth="9" defaultRowHeight="21.95" customHeight="1"/>
  <cols>
    <col min="1" max="1" width="9.7109375" style="1" customWidth="1"/>
    <col min="2" max="2" width="30.140625" style="2" bestFit="1" customWidth="1"/>
    <col min="3" max="3" width="77.42578125" style="122" customWidth="1"/>
    <col min="4" max="4" width="17.7109375" style="2" customWidth="1"/>
    <col min="5" max="5" width="14.28515625" style="2" customWidth="1"/>
    <col min="6" max="6" width="38.140625" style="2" bestFit="1" customWidth="1"/>
    <col min="7" max="7" width="5.42578125" style="2" customWidth="1"/>
    <col min="8" max="9" width="24" style="2" customWidth="1"/>
    <col min="10" max="10" width="95.5703125" style="2" bestFit="1" customWidth="1"/>
    <col min="11" max="16384" width="9" style="2"/>
  </cols>
  <sheetData>
    <row r="1" spans="1:22" ht="21.95" customHeight="1" thickBot="1">
      <c r="A1" s="1" t="s">
        <v>28</v>
      </c>
      <c r="B1" s="1" t="s">
        <v>29</v>
      </c>
      <c r="C1" s="1" t="s">
        <v>49</v>
      </c>
      <c r="D1" s="1" t="s">
        <v>30</v>
      </c>
      <c r="E1" s="1" t="s">
        <v>31</v>
      </c>
      <c r="F1" s="1" t="s">
        <v>32</v>
      </c>
      <c r="H1" s="12" t="s">
        <v>67</v>
      </c>
      <c r="I1" s="13"/>
      <c r="J1" s="19"/>
    </row>
    <row r="2" spans="1:22" ht="21.95" customHeight="1">
      <c r="A2" s="20">
        <v>1</v>
      </c>
      <c r="B2" s="123" t="s">
        <v>40</v>
      </c>
      <c r="C2" s="123" t="s">
        <v>56</v>
      </c>
      <c r="D2" s="118"/>
      <c r="E2" s="21" t="s">
        <v>0</v>
      </c>
      <c r="F2" s="34"/>
      <c r="H2" s="155"/>
      <c r="I2" s="155"/>
      <c r="J2" s="155"/>
      <c r="K2" s="6"/>
      <c r="L2" s="6"/>
      <c r="M2" s="6"/>
      <c r="N2" s="6"/>
      <c r="O2" s="6"/>
      <c r="P2" s="6"/>
      <c r="Q2" s="6"/>
      <c r="R2" s="6"/>
    </row>
    <row r="3" spans="1:22" ht="21.95" customHeight="1" thickBot="1">
      <c r="A3" s="20">
        <v>2</v>
      </c>
      <c r="B3" s="123"/>
      <c r="C3" s="123" t="s">
        <v>96</v>
      </c>
      <c r="D3" s="21" t="s">
        <v>188</v>
      </c>
      <c r="E3" s="21" t="s">
        <v>1</v>
      </c>
      <c r="F3" s="34" t="s">
        <v>104</v>
      </c>
      <c r="H3" s="11"/>
      <c r="I3" s="11"/>
      <c r="J3" s="11"/>
      <c r="K3" s="6"/>
      <c r="L3" s="6"/>
      <c r="M3" s="6"/>
      <c r="N3" s="6"/>
      <c r="O3" s="6"/>
      <c r="P3" s="6"/>
      <c r="Q3" s="6"/>
      <c r="R3" s="6"/>
    </row>
    <row r="4" spans="1:22" ht="21.95" customHeight="1" thickBot="1">
      <c r="A4" s="20">
        <v>3</v>
      </c>
      <c r="B4" s="123" t="s">
        <v>36</v>
      </c>
      <c r="C4" s="123" t="s">
        <v>97</v>
      </c>
      <c r="D4" s="21"/>
      <c r="E4" s="21" t="s">
        <v>2</v>
      </c>
      <c r="F4" s="118" t="s">
        <v>189</v>
      </c>
      <c r="H4" s="12" t="s">
        <v>68</v>
      </c>
      <c r="I4" s="13"/>
      <c r="J4" s="19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</row>
    <row r="5" spans="1:22" ht="21.95" customHeight="1">
      <c r="A5" s="20">
        <v>4</v>
      </c>
      <c r="B5" s="123"/>
      <c r="C5" s="123" t="s">
        <v>54</v>
      </c>
      <c r="D5" s="21"/>
      <c r="E5" s="21" t="s">
        <v>3</v>
      </c>
      <c r="F5" s="34" t="s">
        <v>4</v>
      </c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</row>
    <row r="6" spans="1:22" ht="21.95" customHeight="1">
      <c r="A6" s="20">
        <v>5</v>
      </c>
      <c r="B6" s="123" t="s">
        <v>131</v>
      </c>
      <c r="C6" s="123" t="s">
        <v>43</v>
      </c>
      <c r="D6" s="21"/>
      <c r="E6" s="21" t="s">
        <v>33</v>
      </c>
      <c r="F6" s="34" t="s">
        <v>105</v>
      </c>
      <c r="H6" s="15" t="s">
        <v>71</v>
      </c>
      <c r="I6" s="15" t="s">
        <v>69</v>
      </c>
      <c r="J6" s="15" t="s">
        <v>70</v>
      </c>
      <c r="K6" s="14"/>
      <c r="L6" s="14"/>
      <c r="M6" s="14"/>
      <c r="N6" s="14"/>
      <c r="O6" s="14"/>
      <c r="P6" s="14"/>
      <c r="Q6" s="14"/>
      <c r="R6" s="14"/>
      <c r="S6" s="14"/>
      <c r="T6" s="14"/>
      <c r="U6" s="6"/>
      <c r="V6" s="6"/>
    </row>
    <row r="7" spans="1:22" ht="21.95" customHeight="1">
      <c r="A7" s="20">
        <v>6</v>
      </c>
      <c r="B7" s="123"/>
      <c r="C7" s="123" t="s">
        <v>100</v>
      </c>
      <c r="D7" s="21"/>
      <c r="E7" s="21"/>
      <c r="F7" s="21" t="s">
        <v>37</v>
      </c>
      <c r="H7" s="42" t="s">
        <v>40</v>
      </c>
      <c r="I7" s="43"/>
      <c r="J7" s="44" t="s">
        <v>134</v>
      </c>
      <c r="K7" s="14"/>
      <c r="L7" s="14"/>
      <c r="M7" s="14"/>
      <c r="N7" s="14"/>
      <c r="O7" s="14"/>
      <c r="P7" s="14"/>
      <c r="Q7" s="14"/>
      <c r="R7" s="14"/>
      <c r="S7" s="14"/>
      <c r="T7" s="14"/>
      <c r="U7" s="6"/>
      <c r="V7" s="6"/>
    </row>
    <row r="8" spans="1:22" ht="21.95" customHeight="1">
      <c r="A8" s="20">
        <v>7</v>
      </c>
      <c r="B8" s="123" t="s">
        <v>34</v>
      </c>
      <c r="C8" s="123" t="s">
        <v>101</v>
      </c>
      <c r="D8" s="21"/>
      <c r="E8" s="21"/>
      <c r="F8" s="34" t="s">
        <v>48</v>
      </c>
      <c r="H8" s="42"/>
      <c r="I8" s="43"/>
      <c r="J8" s="44"/>
      <c r="K8" s="14"/>
      <c r="L8" s="14"/>
      <c r="M8" s="14"/>
      <c r="N8" s="14"/>
      <c r="O8" s="14"/>
      <c r="P8" s="14"/>
      <c r="Q8" s="14"/>
      <c r="R8" s="14"/>
      <c r="S8" s="14"/>
      <c r="T8" s="14"/>
      <c r="U8" s="6"/>
      <c r="V8" s="6"/>
    </row>
    <row r="9" spans="1:22" ht="21.95" customHeight="1">
      <c r="A9" s="20">
        <v>8</v>
      </c>
      <c r="B9" s="123"/>
      <c r="C9" s="123" t="s">
        <v>190</v>
      </c>
      <c r="D9" s="21"/>
      <c r="E9" s="21"/>
      <c r="F9" s="34" t="s">
        <v>54</v>
      </c>
      <c r="H9" s="42" t="s">
        <v>36</v>
      </c>
      <c r="I9" s="43" t="s">
        <v>37</v>
      </c>
      <c r="J9" s="44" t="s">
        <v>135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6"/>
      <c r="V9" s="6"/>
    </row>
    <row r="10" spans="1:22" ht="21.95" customHeight="1">
      <c r="A10" s="20">
        <v>9</v>
      </c>
      <c r="B10" s="123" t="s">
        <v>132</v>
      </c>
      <c r="C10" s="123" t="s">
        <v>191</v>
      </c>
      <c r="D10" s="21"/>
      <c r="E10" s="21"/>
      <c r="F10" s="34"/>
      <c r="H10" s="42"/>
      <c r="I10" s="43"/>
      <c r="J10" s="4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6"/>
      <c r="V10" s="6"/>
    </row>
    <row r="11" spans="1:22" ht="21.95" customHeight="1">
      <c r="A11" s="20">
        <v>10</v>
      </c>
      <c r="B11" s="123"/>
      <c r="C11" s="123" t="s">
        <v>192</v>
      </c>
      <c r="D11" s="21"/>
      <c r="E11" s="21"/>
      <c r="F11" s="34" t="s">
        <v>44</v>
      </c>
      <c r="H11" s="42" t="s">
        <v>131</v>
      </c>
      <c r="I11" s="43"/>
      <c r="J11" s="44" t="s">
        <v>136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6"/>
      <c r="V11" s="6"/>
    </row>
    <row r="12" spans="1:22" ht="21.95" customHeight="1">
      <c r="A12" s="20">
        <v>11</v>
      </c>
      <c r="B12" s="123" t="s">
        <v>102</v>
      </c>
      <c r="C12" s="123" t="s">
        <v>193</v>
      </c>
      <c r="D12" s="118"/>
      <c r="E12" s="21"/>
      <c r="F12" s="35" t="s">
        <v>103</v>
      </c>
      <c r="H12" s="42"/>
      <c r="I12" s="43"/>
      <c r="J12" s="4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6"/>
      <c r="V12" s="6"/>
    </row>
    <row r="13" spans="1:22" ht="21.95" customHeight="1">
      <c r="A13" s="20">
        <v>12</v>
      </c>
      <c r="B13" s="123"/>
      <c r="C13" s="123" t="s">
        <v>194</v>
      </c>
      <c r="D13" s="118"/>
      <c r="E13" s="21"/>
      <c r="F13" s="34" t="s">
        <v>95</v>
      </c>
      <c r="H13" s="42" t="s">
        <v>34</v>
      </c>
      <c r="I13" s="43"/>
      <c r="J13" s="44" t="s">
        <v>137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</row>
    <row r="14" spans="1:22" ht="21.95" customHeight="1">
      <c r="A14" s="20">
        <v>13</v>
      </c>
      <c r="B14" s="123" t="s">
        <v>41</v>
      </c>
      <c r="C14" s="123" t="s">
        <v>195</v>
      </c>
      <c r="D14" s="21"/>
      <c r="E14" s="21"/>
      <c r="F14" s="34" t="s">
        <v>46</v>
      </c>
      <c r="H14" s="42"/>
      <c r="I14" s="44"/>
      <c r="J14" s="44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</row>
    <row r="15" spans="1:22" ht="21.95" customHeight="1">
      <c r="A15" s="20">
        <v>14</v>
      </c>
      <c r="B15" s="123"/>
      <c r="C15" s="123" t="s">
        <v>196</v>
      </c>
      <c r="D15" s="21"/>
      <c r="E15" s="21"/>
      <c r="F15" s="21" t="s">
        <v>187</v>
      </c>
      <c r="H15" s="42" t="s">
        <v>132</v>
      </c>
      <c r="I15" s="44"/>
      <c r="J15" s="44" t="s">
        <v>138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</row>
    <row r="16" spans="1:22" ht="21.95" customHeight="1">
      <c r="A16" s="20">
        <v>15</v>
      </c>
      <c r="B16" s="123" t="s">
        <v>61</v>
      </c>
      <c r="C16" s="124" t="s">
        <v>133</v>
      </c>
      <c r="D16" s="21"/>
      <c r="E16" s="21"/>
      <c r="F16" s="34" t="s">
        <v>42</v>
      </c>
      <c r="H16" s="42"/>
      <c r="I16" s="44"/>
      <c r="J16" s="44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</row>
    <row r="17" spans="1:22" ht="21.95" customHeight="1">
      <c r="A17" s="20">
        <v>16</v>
      </c>
      <c r="B17" s="123"/>
      <c r="C17" s="124"/>
      <c r="D17" s="21"/>
      <c r="E17" s="21"/>
      <c r="F17" s="34" t="s">
        <v>105</v>
      </c>
      <c r="H17" s="42" t="s">
        <v>102</v>
      </c>
      <c r="I17" s="43"/>
      <c r="J17" s="44" t="s">
        <v>139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</row>
    <row r="18" spans="1:22" ht="21.95" customHeight="1">
      <c r="A18" s="20">
        <v>17</v>
      </c>
      <c r="B18" s="123" t="s">
        <v>55</v>
      </c>
      <c r="C18" s="124"/>
      <c r="D18" s="21"/>
      <c r="E18" s="21"/>
      <c r="F18" s="34" t="s">
        <v>106</v>
      </c>
      <c r="H18" s="42"/>
      <c r="I18" s="44"/>
      <c r="J18" s="44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</row>
    <row r="19" spans="1:22" ht="21.95" customHeight="1">
      <c r="A19" s="20">
        <v>18</v>
      </c>
      <c r="B19" s="123" t="s">
        <v>53</v>
      </c>
      <c r="C19" s="124" t="s">
        <v>204</v>
      </c>
      <c r="D19" s="21"/>
      <c r="E19" s="21"/>
      <c r="F19" s="36" t="s">
        <v>47</v>
      </c>
      <c r="H19" s="42" t="s">
        <v>41</v>
      </c>
      <c r="I19" s="44"/>
      <c r="J19" s="44" t="s">
        <v>140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</row>
    <row r="20" spans="1:22" ht="21.95" customHeight="1">
      <c r="A20" s="20">
        <v>19</v>
      </c>
      <c r="B20" s="123"/>
      <c r="C20" s="124" t="s">
        <v>206</v>
      </c>
      <c r="D20" s="21"/>
      <c r="E20" s="21"/>
      <c r="F20" s="34" t="s">
        <v>107</v>
      </c>
      <c r="H20" s="42"/>
      <c r="I20" s="44"/>
      <c r="J20" s="44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</row>
    <row r="21" spans="1:22" ht="21.95" customHeight="1">
      <c r="A21" s="20">
        <v>20</v>
      </c>
      <c r="B21" s="123" t="s">
        <v>133</v>
      </c>
      <c r="C21" s="124" t="s">
        <v>208</v>
      </c>
      <c r="D21" s="21"/>
      <c r="E21" s="21"/>
      <c r="F21" s="34"/>
      <c r="H21" s="42" t="s">
        <v>61</v>
      </c>
      <c r="I21" s="44" t="s">
        <v>42</v>
      </c>
      <c r="J21" s="44" t="s">
        <v>141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</row>
    <row r="22" spans="1:22" ht="21.95" customHeight="1">
      <c r="A22" s="20">
        <v>21</v>
      </c>
      <c r="B22" s="123"/>
      <c r="C22" s="124" t="s">
        <v>210</v>
      </c>
      <c r="D22" s="21"/>
      <c r="E22" s="21"/>
      <c r="F22" s="34" t="s">
        <v>45</v>
      </c>
      <c r="H22" s="42"/>
      <c r="I22" s="44"/>
      <c r="J22" s="44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</row>
    <row r="23" spans="1:22" ht="21.95" customHeight="1">
      <c r="A23" s="20">
        <v>22</v>
      </c>
      <c r="B23" s="130" t="s">
        <v>35</v>
      </c>
      <c r="C23" s="125" t="s">
        <v>211</v>
      </c>
      <c r="D23" s="22"/>
      <c r="E23" s="21"/>
      <c r="F23" s="34" t="s">
        <v>108</v>
      </c>
      <c r="H23" s="42" t="s">
        <v>55</v>
      </c>
      <c r="I23" s="17"/>
      <c r="J23" s="17" t="s">
        <v>142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</row>
    <row r="24" spans="1:22" ht="21.95" customHeight="1">
      <c r="A24" s="20">
        <v>23</v>
      </c>
      <c r="B24" s="130"/>
      <c r="C24" s="125" t="s">
        <v>212</v>
      </c>
      <c r="D24" s="22"/>
      <c r="E24" s="21"/>
      <c r="F24" s="37" t="s">
        <v>109</v>
      </c>
      <c r="H24" s="42" t="s">
        <v>53</v>
      </c>
      <c r="I24" s="17"/>
      <c r="J24" s="17" t="s">
        <v>143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</row>
    <row r="25" spans="1:22" ht="21.95" customHeight="1">
      <c r="A25" s="20">
        <v>24</v>
      </c>
      <c r="B25" s="130" t="s">
        <v>54</v>
      </c>
      <c r="C25" s="125" t="s">
        <v>213</v>
      </c>
      <c r="D25" s="22"/>
      <c r="E25" s="21"/>
      <c r="F25" s="21" t="s">
        <v>64</v>
      </c>
      <c r="H25" s="42"/>
      <c r="I25" s="17"/>
      <c r="J25" s="17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</row>
    <row r="26" spans="1:22" ht="21.95" customHeight="1">
      <c r="A26" s="20">
        <v>25</v>
      </c>
      <c r="B26" s="125"/>
      <c r="C26" s="125"/>
      <c r="D26" s="22"/>
      <c r="E26" s="21"/>
      <c r="F26" s="21" t="s">
        <v>93</v>
      </c>
      <c r="H26" s="42" t="s">
        <v>133</v>
      </c>
      <c r="I26" s="17"/>
      <c r="J26" s="17" t="s">
        <v>144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</row>
    <row r="27" spans="1:22" ht="21.95" customHeight="1">
      <c r="A27" s="20">
        <v>26</v>
      </c>
      <c r="B27" s="125"/>
      <c r="C27" s="125"/>
      <c r="D27" s="22"/>
      <c r="E27" s="21"/>
      <c r="F27" s="21" t="s">
        <v>110</v>
      </c>
      <c r="H27" s="42"/>
      <c r="I27" s="45"/>
      <c r="J27" s="17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</row>
    <row r="28" spans="1:22" ht="21.95" customHeight="1">
      <c r="A28" s="20">
        <v>27</v>
      </c>
      <c r="B28" s="125" t="s">
        <v>205</v>
      </c>
      <c r="C28" s="125"/>
      <c r="D28" s="22"/>
      <c r="E28" s="21"/>
      <c r="F28" s="21"/>
      <c r="H28" s="42" t="s">
        <v>35</v>
      </c>
      <c r="I28" s="45"/>
      <c r="J28" s="17" t="s">
        <v>145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</row>
    <row r="29" spans="1:22" ht="21.95" customHeight="1">
      <c r="A29" s="20">
        <v>28</v>
      </c>
      <c r="B29" s="131" t="s">
        <v>207</v>
      </c>
      <c r="C29" s="125"/>
      <c r="D29" s="22"/>
      <c r="E29" s="21"/>
      <c r="F29" s="21" t="s">
        <v>63</v>
      </c>
      <c r="H29" s="43"/>
      <c r="I29" s="45"/>
      <c r="J29" s="17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6"/>
      <c r="V29" s="6"/>
    </row>
    <row r="30" spans="1:22" ht="21.95" customHeight="1">
      <c r="A30" s="20">
        <v>29</v>
      </c>
      <c r="B30" s="125" t="s">
        <v>209</v>
      </c>
      <c r="C30" s="125"/>
      <c r="D30" s="22"/>
      <c r="E30" s="21"/>
      <c r="F30" s="21" t="s">
        <v>111</v>
      </c>
      <c r="H30" s="43" t="s">
        <v>54</v>
      </c>
      <c r="I30" s="46" t="s">
        <v>54</v>
      </c>
      <c r="J30" s="46" t="s">
        <v>147</v>
      </c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6"/>
      <c r="V30" s="6"/>
    </row>
    <row r="31" spans="1:22" ht="21.95" customHeight="1">
      <c r="A31" s="20">
        <v>30</v>
      </c>
      <c r="B31" s="125"/>
      <c r="C31" s="125"/>
      <c r="D31" s="22"/>
      <c r="E31" s="21"/>
      <c r="F31" s="34"/>
      <c r="H31" s="43"/>
      <c r="I31" s="46"/>
      <c r="J31" s="46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6"/>
      <c r="V31" s="6"/>
    </row>
    <row r="32" spans="1:22" ht="21.95" customHeight="1">
      <c r="A32" s="20">
        <v>31</v>
      </c>
      <c r="B32" s="125"/>
      <c r="C32" s="125"/>
      <c r="D32" s="22"/>
      <c r="E32" s="21"/>
      <c r="F32" s="34" t="s">
        <v>112</v>
      </c>
      <c r="H32" s="43"/>
      <c r="I32" s="45" t="s">
        <v>122</v>
      </c>
      <c r="J32" s="17" t="s">
        <v>146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6"/>
      <c r="V32" s="6"/>
    </row>
    <row r="33" spans="1:22" ht="21.95" customHeight="1">
      <c r="A33" s="20">
        <v>32</v>
      </c>
      <c r="B33" s="125"/>
      <c r="C33" s="125"/>
      <c r="D33" s="22"/>
      <c r="E33" s="21"/>
      <c r="F33" s="38" t="s">
        <v>113</v>
      </c>
      <c r="H33" s="7"/>
      <c r="I33" s="7"/>
      <c r="J33" s="1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</row>
    <row r="34" spans="1:22" ht="21.95" customHeight="1">
      <c r="A34" s="20">
        <v>33</v>
      </c>
      <c r="B34" s="125"/>
      <c r="C34" s="125"/>
      <c r="D34" s="22"/>
      <c r="E34" s="21"/>
      <c r="F34" s="21" t="s">
        <v>62</v>
      </c>
      <c r="H34" s="7"/>
      <c r="I34" s="3"/>
      <c r="J34" s="1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</row>
    <row r="35" spans="1:22" ht="21.95" customHeight="1">
      <c r="A35" s="20">
        <v>34</v>
      </c>
      <c r="B35" s="125"/>
      <c r="C35" s="125"/>
      <c r="D35" s="22"/>
      <c r="E35" s="21"/>
      <c r="F35" s="21" t="s">
        <v>114</v>
      </c>
      <c r="H35" s="10"/>
      <c r="I35" s="3"/>
      <c r="J35" s="1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</row>
    <row r="36" spans="1:22" ht="21.95" customHeight="1">
      <c r="A36" s="20">
        <v>35</v>
      </c>
      <c r="B36" s="125"/>
      <c r="C36" s="125"/>
      <c r="D36" s="22"/>
      <c r="E36" s="21"/>
      <c r="F36" s="21"/>
      <c r="H36" s="7"/>
      <c r="I36" s="3"/>
      <c r="J36" s="1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</row>
    <row r="37" spans="1:22" ht="21.95" customHeight="1">
      <c r="A37" s="20">
        <v>36</v>
      </c>
      <c r="B37" s="125"/>
      <c r="C37" s="125"/>
      <c r="D37" s="22"/>
      <c r="E37" s="21"/>
      <c r="F37" s="21" t="s">
        <v>115</v>
      </c>
      <c r="H37" s="16"/>
      <c r="I37" s="3"/>
      <c r="J37" s="1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</row>
    <row r="38" spans="1:22" ht="21.95" customHeight="1">
      <c r="A38" s="20">
        <v>37</v>
      </c>
      <c r="B38" s="125"/>
      <c r="C38" s="125"/>
      <c r="D38" s="22"/>
      <c r="E38" s="21"/>
      <c r="F38" s="21" t="s">
        <v>116</v>
      </c>
      <c r="H38" s="17"/>
      <c r="I38" s="9"/>
      <c r="J38" s="16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6"/>
      <c r="V38" s="6"/>
    </row>
    <row r="39" spans="1:22" ht="21.95" customHeight="1">
      <c r="A39" s="20">
        <v>38</v>
      </c>
      <c r="B39" s="125"/>
      <c r="C39" s="125"/>
      <c r="D39" s="22"/>
      <c r="E39" s="21"/>
      <c r="F39" s="21" t="s">
        <v>117</v>
      </c>
      <c r="H39" s="16"/>
      <c r="I39" s="3"/>
      <c r="J39" s="1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</row>
    <row r="40" spans="1:22" ht="21.95" customHeight="1">
      <c r="A40" s="20">
        <v>39</v>
      </c>
      <c r="B40" s="125"/>
      <c r="C40" s="125"/>
      <c r="D40" s="22"/>
      <c r="E40" s="21"/>
      <c r="F40" s="38" t="s">
        <v>118</v>
      </c>
      <c r="H40" s="16"/>
      <c r="I40" s="3"/>
      <c r="J40" s="1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</row>
    <row r="41" spans="1:22" ht="21.95" customHeight="1">
      <c r="A41" s="20">
        <v>40</v>
      </c>
      <c r="B41" s="132"/>
      <c r="C41" s="125"/>
      <c r="D41" s="22"/>
      <c r="E41" s="21"/>
      <c r="F41" s="38"/>
      <c r="H41" s="16"/>
      <c r="I41" s="3"/>
      <c r="J41" s="1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</row>
    <row r="42" spans="1:22" ht="21.95" customHeight="1">
      <c r="A42" s="20">
        <v>41</v>
      </c>
      <c r="B42" s="125"/>
      <c r="C42" s="125"/>
      <c r="D42" s="22"/>
      <c r="E42" s="21"/>
      <c r="F42" s="21" t="s">
        <v>119</v>
      </c>
      <c r="H42" s="16"/>
      <c r="I42" s="3"/>
      <c r="J42" s="1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</row>
    <row r="43" spans="1:22" ht="21.95" customHeight="1">
      <c r="A43" s="20">
        <v>41</v>
      </c>
      <c r="B43" s="125"/>
      <c r="C43" s="125"/>
      <c r="D43" s="22"/>
      <c r="E43" s="21"/>
      <c r="F43" s="21"/>
      <c r="H43" s="16"/>
      <c r="I43" s="5"/>
      <c r="J43" s="1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</row>
    <row r="44" spans="1:22" ht="21.95" customHeight="1">
      <c r="A44" s="20">
        <v>42</v>
      </c>
      <c r="B44" s="125"/>
      <c r="C44" s="125"/>
      <c r="D44" s="22"/>
      <c r="E44" s="21"/>
      <c r="F44" s="21" t="s">
        <v>38</v>
      </c>
      <c r="H44" s="16"/>
      <c r="I44" s="8"/>
      <c r="J44" s="1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</row>
    <row r="45" spans="1:22" ht="21.95" customHeight="1">
      <c r="A45" s="20">
        <v>43</v>
      </c>
      <c r="B45" s="124"/>
      <c r="C45" s="124"/>
      <c r="D45" s="21"/>
      <c r="E45" s="21"/>
      <c r="F45" s="21" t="s">
        <v>39</v>
      </c>
      <c r="H45" s="16"/>
      <c r="I45" s="7"/>
      <c r="J45" s="1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</row>
    <row r="46" spans="1:22" ht="21.95" customHeight="1">
      <c r="A46" s="20">
        <v>44</v>
      </c>
      <c r="B46" s="124"/>
      <c r="C46" s="124"/>
      <c r="D46" s="21"/>
      <c r="E46" s="21"/>
      <c r="F46" s="21" t="s">
        <v>57</v>
      </c>
      <c r="H46" s="16"/>
      <c r="I46" s="7"/>
      <c r="J46" s="1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</row>
    <row r="47" spans="1:22" ht="21.95" customHeight="1">
      <c r="A47" s="20">
        <v>45</v>
      </c>
      <c r="B47" s="124"/>
      <c r="C47" s="124"/>
      <c r="D47" s="21"/>
      <c r="E47" s="21"/>
      <c r="F47" s="21"/>
      <c r="H47" s="16"/>
      <c r="I47" s="7"/>
      <c r="J47" s="1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</row>
    <row r="48" spans="1:22" ht="21.95" customHeight="1">
      <c r="A48" s="20">
        <v>46</v>
      </c>
      <c r="B48" s="124"/>
      <c r="C48" s="124"/>
      <c r="D48" s="22"/>
      <c r="E48" s="22"/>
      <c r="F48" s="21" t="s">
        <v>94</v>
      </c>
      <c r="H48" s="16"/>
      <c r="I48" s="7"/>
      <c r="J48" s="1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</row>
    <row r="49" spans="1:22" ht="21.95" customHeight="1">
      <c r="A49" s="20">
        <v>47</v>
      </c>
      <c r="B49" s="124"/>
      <c r="C49" s="126"/>
      <c r="D49" s="21"/>
      <c r="E49" s="21"/>
      <c r="F49" s="41" t="s">
        <v>120</v>
      </c>
      <c r="H49" s="17"/>
      <c r="I49" s="7"/>
      <c r="J49" s="16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6"/>
      <c r="V49" s="6"/>
    </row>
    <row r="50" spans="1:22" ht="21.95" customHeight="1">
      <c r="A50" s="20">
        <v>48</v>
      </c>
      <c r="B50" s="124"/>
      <c r="C50" s="126"/>
      <c r="D50" s="21"/>
      <c r="E50" s="21"/>
      <c r="F50" s="41" t="s">
        <v>121</v>
      </c>
      <c r="H50" s="16"/>
      <c r="I50" s="3"/>
      <c r="J50" s="1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</row>
    <row r="51" spans="1:22" ht="21.95" customHeight="1">
      <c r="A51" s="20">
        <v>49</v>
      </c>
      <c r="B51" s="124"/>
      <c r="C51" s="126"/>
      <c r="D51" s="21"/>
      <c r="E51" s="21"/>
      <c r="F51" s="41"/>
      <c r="H51" s="16"/>
      <c r="I51" s="9"/>
      <c r="J51" s="1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</row>
    <row r="52" spans="1:22" ht="21.95" customHeight="1">
      <c r="A52" s="20">
        <v>50</v>
      </c>
      <c r="B52" s="124"/>
      <c r="C52" s="126"/>
      <c r="D52" s="21"/>
      <c r="E52" s="21"/>
      <c r="F52" s="21" t="s">
        <v>72</v>
      </c>
      <c r="H52" s="16"/>
      <c r="I52" s="4"/>
      <c r="J52" s="1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</row>
    <row r="53" spans="1:22" ht="21.95" customHeight="1">
      <c r="A53" s="20">
        <v>51</v>
      </c>
      <c r="B53" s="124"/>
      <c r="C53" s="126"/>
      <c r="D53" s="21"/>
      <c r="E53" s="21"/>
      <c r="F53" s="38" t="s">
        <v>73</v>
      </c>
      <c r="H53" s="16"/>
      <c r="I53" s="7"/>
      <c r="J53" s="1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</row>
    <row r="54" spans="1:22" ht="21.95" customHeight="1">
      <c r="A54" s="20">
        <v>52</v>
      </c>
      <c r="B54" s="124"/>
      <c r="C54" s="126"/>
      <c r="D54" s="21"/>
      <c r="E54" s="21"/>
      <c r="F54" s="21" t="s">
        <v>74</v>
      </c>
      <c r="H54" s="18"/>
      <c r="I54" s="7"/>
      <c r="J54" s="16"/>
    </row>
    <row r="55" spans="1:22" ht="21.95" customHeight="1">
      <c r="A55" s="20">
        <v>53</v>
      </c>
      <c r="B55" s="124"/>
      <c r="C55" s="127"/>
      <c r="D55" s="21"/>
      <c r="E55" s="21"/>
      <c r="F55" s="38" t="s">
        <v>75</v>
      </c>
      <c r="H55" s="18"/>
      <c r="I55" s="7"/>
      <c r="J55" s="16"/>
    </row>
    <row r="56" spans="1:22" ht="21.95" customHeight="1">
      <c r="A56" s="20">
        <f>A55 + 1</f>
        <v>54</v>
      </c>
      <c r="B56" s="124"/>
      <c r="C56" s="126"/>
      <c r="D56" s="21"/>
      <c r="E56" s="21"/>
      <c r="F56" s="21" t="s">
        <v>76</v>
      </c>
      <c r="H56" s="18"/>
      <c r="I56" s="7"/>
      <c r="J56" s="16"/>
    </row>
    <row r="57" spans="1:22" ht="21.95" customHeight="1">
      <c r="A57" s="20">
        <f t="shared" ref="A57:A120" si="0">A56 + 1</f>
        <v>55</v>
      </c>
      <c r="B57" s="124"/>
      <c r="C57" s="126"/>
      <c r="D57" s="40"/>
      <c r="E57" s="40"/>
      <c r="F57" s="38" t="s">
        <v>74</v>
      </c>
      <c r="H57" s="18"/>
      <c r="I57" s="7"/>
      <c r="J57" s="16"/>
    </row>
    <row r="58" spans="1:22" ht="21.95" customHeight="1">
      <c r="A58" s="20">
        <f t="shared" si="0"/>
        <v>56</v>
      </c>
      <c r="B58" s="124"/>
      <c r="C58" s="126"/>
      <c r="D58" s="40"/>
      <c r="E58" s="40"/>
      <c r="F58" s="21" t="s">
        <v>77</v>
      </c>
      <c r="H58" s="18"/>
      <c r="I58" s="7"/>
      <c r="J58" s="16"/>
    </row>
    <row r="59" spans="1:22" ht="21.95" customHeight="1">
      <c r="A59" s="20">
        <f t="shared" si="0"/>
        <v>57</v>
      </c>
      <c r="B59" s="124"/>
      <c r="C59" s="126"/>
      <c r="D59" s="40"/>
      <c r="E59" s="40"/>
      <c r="F59" s="21" t="s">
        <v>78</v>
      </c>
      <c r="H59" s="18"/>
      <c r="I59" s="4"/>
      <c r="J59" s="16"/>
    </row>
    <row r="60" spans="1:22" ht="21.95" customHeight="1">
      <c r="A60" s="20">
        <f t="shared" si="0"/>
        <v>58</v>
      </c>
      <c r="B60" s="124"/>
      <c r="C60" s="126"/>
      <c r="D60" s="40"/>
      <c r="E60" s="40"/>
      <c r="F60" s="21" t="s">
        <v>79</v>
      </c>
      <c r="H60" s="18"/>
      <c r="I60" s="4"/>
      <c r="J60" s="16"/>
    </row>
    <row r="61" spans="1:22" ht="21.95" customHeight="1">
      <c r="A61" s="20">
        <f t="shared" si="0"/>
        <v>59</v>
      </c>
      <c r="B61" s="124"/>
      <c r="C61" s="126"/>
      <c r="D61" s="40"/>
      <c r="E61" s="40"/>
      <c r="F61" s="21" t="s">
        <v>80</v>
      </c>
      <c r="H61" s="18"/>
      <c r="I61" s="7"/>
      <c r="J61" s="16"/>
    </row>
    <row r="62" spans="1:22" ht="21.95" customHeight="1">
      <c r="A62" s="20">
        <f t="shared" si="0"/>
        <v>60</v>
      </c>
      <c r="B62" s="124"/>
      <c r="C62" s="128"/>
      <c r="D62" s="40"/>
      <c r="E62" s="40"/>
      <c r="F62" s="21"/>
      <c r="H62" s="18"/>
      <c r="I62" s="7"/>
      <c r="J62" s="16"/>
    </row>
    <row r="63" spans="1:22" ht="21.95" customHeight="1">
      <c r="A63" s="20">
        <f t="shared" si="0"/>
        <v>61</v>
      </c>
      <c r="B63" s="124"/>
      <c r="C63" s="126"/>
      <c r="D63" s="40"/>
      <c r="E63" s="40"/>
      <c r="F63" s="38" t="s">
        <v>122</v>
      </c>
      <c r="H63" s="18"/>
      <c r="I63" s="7"/>
      <c r="J63" s="16"/>
    </row>
    <row r="64" spans="1:22" ht="21.95" customHeight="1">
      <c r="A64" s="20">
        <f t="shared" si="0"/>
        <v>62</v>
      </c>
      <c r="B64" s="124"/>
      <c r="C64" s="127"/>
      <c r="D64" s="40"/>
      <c r="E64" s="40"/>
      <c r="F64" s="21" t="s">
        <v>58</v>
      </c>
      <c r="H64" s="18"/>
      <c r="I64" s="7"/>
      <c r="J64" s="16"/>
    </row>
    <row r="65" spans="1:10" ht="21.95" customHeight="1">
      <c r="A65" s="20">
        <f t="shared" si="0"/>
        <v>63</v>
      </c>
      <c r="B65" s="124"/>
      <c r="C65" s="125"/>
      <c r="D65" s="40"/>
      <c r="E65" s="40"/>
      <c r="F65" s="38" t="s">
        <v>59</v>
      </c>
      <c r="H65" s="18"/>
      <c r="I65" s="7"/>
      <c r="J65" s="16"/>
    </row>
    <row r="66" spans="1:10" ht="21.95" customHeight="1">
      <c r="A66" s="20">
        <f t="shared" si="0"/>
        <v>64</v>
      </c>
      <c r="B66" s="124"/>
      <c r="C66" s="126"/>
      <c r="D66" s="40"/>
      <c r="E66" s="40"/>
      <c r="F66" s="21" t="s">
        <v>149</v>
      </c>
      <c r="H66" s="18"/>
      <c r="I66" s="7"/>
      <c r="J66" s="16"/>
    </row>
    <row r="67" spans="1:10" ht="21.95" customHeight="1">
      <c r="A67" s="20">
        <f t="shared" si="0"/>
        <v>65</v>
      </c>
      <c r="B67" s="124"/>
      <c r="C67" s="126"/>
      <c r="D67" s="40"/>
      <c r="E67" s="40"/>
      <c r="F67" s="38"/>
      <c r="H67" s="18"/>
      <c r="I67" s="7"/>
      <c r="J67" s="16"/>
    </row>
    <row r="68" spans="1:10" ht="21.95" customHeight="1">
      <c r="A68" s="20">
        <f t="shared" si="0"/>
        <v>66</v>
      </c>
      <c r="B68" s="124"/>
      <c r="C68" s="126"/>
      <c r="D68" s="40"/>
      <c r="E68" s="40"/>
      <c r="F68" s="38" t="s">
        <v>50</v>
      </c>
    </row>
    <row r="69" spans="1:10" ht="21.95" customHeight="1">
      <c r="A69" s="20">
        <f t="shared" si="0"/>
        <v>67</v>
      </c>
      <c r="B69" s="124"/>
      <c r="C69" s="126"/>
      <c r="D69" s="40"/>
      <c r="E69" s="40"/>
      <c r="F69" s="21" t="s">
        <v>51</v>
      </c>
    </row>
    <row r="70" spans="1:10" ht="21.95" customHeight="1">
      <c r="A70" s="20">
        <f t="shared" si="0"/>
        <v>68</v>
      </c>
      <c r="B70" s="124"/>
      <c r="C70" s="128"/>
      <c r="D70" s="40"/>
      <c r="E70" s="40"/>
      <c r="F70" s="21" t="s">
        <v>52</v>
      </c>
    </row>
    <row r="71" spans="1:10" ht="21.95" customHeight="1">
      <c r="A71" s="20">
        <f t="shared" si="0"/>
        <v>69</v>
      </c>
      <c r="B71" s="124"/>
      <c r="C71" s="128"/>
      <c r="D71" s="40"/>
      <c r="E71" s="40"/>
      <c r="F71" s="47"/>
    </row>
    <row r="72" spans="1:10" ht="21.95" customHeight="1">
      <c r="A72" s="20">
        <f t="shared" si="0"/>
        <v>70</v>
      </c>
      <c r="B72" s="124"/>
      <c r="C72" s="128"/>
      <c r="D72" s="40"/>
      <c r="E72" s="40"/>
      <c r="F72" s="47" t="s">
        <v>81</v>
      </c>
    </row>
    <row r="73" spans="1:10" ht="21.95" customHeight="1">
      <c r="A73" s="20">
        <f t="shared" si="0"/>
        <v>71</v>
      </c>
      <c r="B73" s="124"/>
      <c r="C73" s="126"/>
      <c r="D73" s="40"/>
      <c r="E73" s="40"/>
      <c r="F73" s="47" t="s">
        <v>123</v>
      </c>
    </row>
    <row r="74" spans="1:10" ht="21.95" customHeight="1">
      <c r="A74" s="20">
        <f t="shared" si="0"/>
        <v>72</v>
      </c>
      <c r="B74" s="124"/>
      <c r="C74" s="126"/>
      <c r="D74" s="40"/>
      <c r="E74" s="40"/>
      <c r="F74" s="47" t="s">
        <v>124</v>
      </c>
    </row>
    <row r="75" spans="1:10" ht="21.95" customHeight="1">
      <c r="A75" s="20">
        <f t="shared" si="0"/>
        <v>73</v>
      </c>
      <c r="B75" s="124"/>
      <c r="C75" s="125"/>
      <c r="D75" s="40"/>
      <c r="E75" s="40"/>
      <c r="F75" s="47" t="s">
        <v>82</v>
      </c>
    </row>
    <row r="76" spans="1:10" ht="21.95" customHeight="1">
      <c r="A76" s="20">
        <f>A75 + 1</f>
        <v>74</v>
      </c>
      <c r="B76" s="124"/>
      <c r="C76" s="126"/>
      <c r="D76" s="40"/>
      <c r="E76" s="40"/>
      <c r="F76" s="21"/>
    </row>
    <row r="77" spans="1:10" ht="21.95" customHeight="1">
      <c r="A77" s="20">
        <f t="shared" si="0"/>
        <v>75</v>
      </c>
      <c r="B77" s="124"/>
      <c r="C77" s="126"/>
      <c r="D77" s="40"/>
      <c r="E77" s="40"/>
      <c r="F77" s="38" t="s">
        <v>197</v>
      </c>
    </row>
    <row r="78" spans="1:10" ht="21.95" customHeight="1">
      <c r="A78" s="20">
        <f t="shared" si="0"/>
        <v>76</v>
      </c>
      <c r="B78" s="124"/>
      <c r="C78" s="126"/>
      <c r="D78" s="40"/>
      <c r="E78" s="40"/>
      <c r="F78" s="21" t="s">
        <v>198</v>
      </c>
    </row>
    <row r="79" spans="1:10" ht="21.95" customHeight="1">
      <c r="A79" s="20">
        <f t="shared" si="0"/>
        <v>77</v>
      </c>
      <c r="B79" s="124"/>
      <c r="C79" s="126"/>
      <c r="D79" s="40"/>
      <c r="E79" s="40"/>
      <c r="F79" s="21" t="s">
        <v>199</v>
      </c>
    </row>
    <row r="80" spans="1:10" ht="21.95" customHeight="1">
      <c r="A80" s="20">
        <f t="shared" si="0"/>
        <v>78</v>
      </c>
      <c r="B80" s="124"/>
      <c r="C80" s="126"/>
      <c r="D80" s="40"/>
      <c r="E80" s="40"/>
      <c r="F80" s="40"/>
    </row>
    <row r="81" spans="1:6" ht="21.95" customHeight="1">
      <c r="A81" s="20">
        <f t="shared" si="0"/>
        <v>79</v>
      </c>
      <c r="B81" s="124"/>
      <c r="C81" s="126"/>
      <c r="D81" s="40"/>
      <c r="E81" s="40"/>
      <c r="F81" s="21" t="s">
        <v>104</v>
      </c>
    </row>
    <row r="82" spans="1:6" ht="21.95" customHeight="1">
      <c r="A82" s="20">
        <f t="shared" si="0"/>
        <v>80</v>
      </c>
      <c r="B82" s="124"/>
      <c r="C82" s="128"/>
      <c r="D82" s="40"/>
      <c r="E82" s="40"/>
      <c r="F82" s="21" t="s">
        <v>200</v>
      </c>
    </row>
    <row r="83" spans="1:6" ht="21.95" customHeight="1">
      <c r="A83" s="20">
        <f t="shared" si="0"/>
        <v>81</v>
      </c>
      <c r="B83" s="124"/>
      <c r="C83" s="126"/>
      <c r="D83" s="40"/>
      <c r="E83" s="40"/>
      <c r="F83" s="21" t="s">
        <v>201</v>
      </c>
    </row>
    <row r="84" spans="1:6" ht="21.95" customHeight="1">
      <c r="A84" s="20">
        <f t="shared" si="0"/>
        <v>82</v>
      </c>
      <c r="B84" s="124"/>
      <c r="C84" s="125"/>
      <c r="D84" s="40"/>
      <c r="E84" s="40"/>
      <c r="F84" s="40"/>
    </row>
    <row r="85" spans="1:6" ht="21.95" customHeight="1">
      <c r="A85" s="20">
        <f t="shared" si="0"/>
        <v>83</v>
      </c>
      <c r="B85" s="124"/>
      <c r="C85" s="126"/>
      <c r="D85" s="40"/>
      <c r="E85" s="40"/>
      <c r="F85" s="21" t="s">
        <v>122</v>
      </c>
    </row>
    <row r="86" spans="1:6" ht="21.95" customHeight="1">
      <c r="A86" s="20">
        <f t="shared" si="0"/>
        <v>84</v>
      </c>
      <c r="B86" s="124"/>
      <c r="C86" s="126"/>
      <c r="D86" s="40"/>
      <c r="E86" s="40"/>
      <c r="F86" s="21" t="s">
        <v>202</v>
      </c>
    </row>
    <row r="87" spans="1:6" ht="21.95" customHeight="1">
      <c r="A87" s="20">
        <f t="shared" si="0"/>
        <v>85</v>
      </c>
      <c r="B87" s="124"/>
      <c r="C87" s="126"/>
      <c r="D87" s="40"/>
      <c r="E87" s="40"/>
      <c r="F87" s="21" t="s">
        <v>203</v>
      </c>
    </row>
    <row r="88" spans="1:6" ht="21.95" customHeight="1">
      <c r="A88" s="20">
        <f t="shared" si="0"/>
        <v>86</v>
      </c>
      <c r="B88" s="124"/>
      <c r="C88" s="128"/>
      <c r="D88" s="40"/>
      <c r="E88" s="40"/>
      <c r="F88" s="40"/>
    </row>
    <row r="89" spans="1:6" ht="21.95" customHeight="1">
      <c r="A89" s="20">
        <f t="shared" si="0"/>
        <v>87</v>
      </c>
      <c r="B89" s="124"/>
      <c r="C89" s="128"/>
      <c r="D89" s="40"/>
      <c r="E89" s="40"/>
      <c r="F89" s="40"/>
    </row>
    <row r="90" spans="1:6" ht="21.95" customHeight="1">
      <c r="A90" s="20">
        <f t="shared" si="0"/>
        <v>88</v>
      </c>
      <c r="B90" s="124"/>
      <c r="C90" s="128"/>
      <c r="D90" s="40"/>
      <c r="E90" s="40"/>
      <c r="F90" s="40"/>
    </row>
    <row r="91" spans="1:6" ht="21.95" customHeight="1">
      <c r="A91" s="20">
        <f t="shared" si="0"/>
        <v>89</v>
      </c>
      <c r="B91" s="124"/>
      <c r="C91" s="126"/>
      <c r="D91" s="40"/>
      <c r="E91" s="40"/>
      <c r="F91" s="40"/>
    </row>
    <row r="92" spans="1:6" ht="21.95" customHeight="1">
      <c r="A92" s="20">
        <f t="shared" si="0"/>
        <v>90</v>
      </c>
      <c r="B92" s="124"/>
      <c r="C92" s="126"/>
      <c r="D92" s="40"/>
      <c r="E92" s="40"/>
      <c r="F92" s="40"/>
    </row>
    <row r="93" spans="1:6" ht="21.95" customHeight="1">
      <c r="A93" s="20">
        <f t="shared" si="0"/>
        <v>91</v>
      </c>
      <c r="B93" s="124"/>
      <c r="C93" s="126"/>
      <c r="D93" s="40"/>
      <c r="E93" s="40"/>
      <c r="F93" s="40"/>
    </row>
    <row r="94" spans="1:6" ht="21.95" customHeight="1">
      <c r="A94" s="20">
        <f t="shared" si="0"/>
        <v>92</v>
      </c>
      <c r="B94" s="124"/>
      <c r="C94" s="125"/>
      <c r="D94" s="40"/>
      <c r="E94" s="40"/>
      <c r="F94" s="40"/>
    </row>
    <row r="95" spans="1:6" ht="21.95" customHeight="1">
      <c r="A95" s="20">
        <f t="shared" si="0"/>
        <v>93</v>
      </c>
      <c r="B95" s="124"/>
      <c r="C95" s="126"/>
      <c r="D95" s="40"/>
      <c r="E95" s="40"/>
      <c r="F95" s="40"/>
    </row>
    <row r="96" spans="1:6" ht="21.95" customHeight="1">
      <c r="A96" s="20">
        <f t="shared" si="0"/>
        <v>94</v>
      </c>
      <c r="B96" s="124"/>
      <c r="C96" s="126"/>
      <c r="D96" s="40"/>
      <c r="E96" s="40"/>
      <c r="F96" s="40"/>
    </row>
    <row r="97" spans="1:6" ht="21.95" customHeight="1">
      <c r="A97" s="20">
        <f t="shared" si="0"/>
        <v>95</v>
      </c>
      <c r="B97" s="124"/>
      <c r="C97" s="126"/>
      <c r="D97" s="40"/>
      <c r="E97" s="40"/>
      <c r="F97" s="40"/>
    </row>
    <row r="98" spans="1:6" ht="21.95" customHeight="1">
      <c r="A98" s="20">
        <f t="shared" si="0"/>
        <v>96</v>
      </c>
      <c r="B98" s="124"/>
      <c r="C98" s="126"/>
      <c r="D98" s="40"/>
      <c r="E98" s="40"/>
      <c r="F98" s="40"/>
    </row>
    <row r="99" spans="1:6" ht="21.95" customHeight="1">
      <c r="A99" s="20">
        <f t="shared" si="0"/>
        <v>97</v>
      </c>
      <c r="B99" s="124"/>
      <c r="C99" s="126"/>
      <c r="D99" s="40"/>
      <c r="E99" s="40"/>
      <c r="F99" s="40"/>
    </row>
    <row r="100" spans="1:6" ht="21.95" customHeight="1">
      <c r="A100" s="20">
        <f t="shared" si="0"/>
        <v>98</v>
      </c>
      <c r="B100" s="124"/>
      <c r="C100" s="126"/>
      <c r="D100" s="40"/>
      <c r="E100" s="40"/>
      <c r="F100" s="40"/>
    </row>
    <row r="101" spans="1:6" ht="21.95" customHeight="1">
      <c r="A101" s="20">
        <f t="shared" si="0"/>
        <v>99</v>
      </c>
      <c r="B101" s="124"/>
      <c r="C101" s="126"/>
      <c r="D101" s="47"/>
      <c r="E101" s="47"/>
      <c r="F101" s="40"/>
    </row>
    <row r="102" spans="1:6" ht="21.95" customHeight="1">
      <c r="A102" s="20">
        <f t="shared" si="0"/>
        <v>100</v>
      </c>
      <c r="B102" s="124"/>
      <c r="C102" s="127"/>
      <c r="D102" s="47"/>
      <c r="E102" s="47"/>
      <c r="F102" s="40"/>
    </row>
    <row r="103" spans="1:6" ht="21.95" customHeight="1">
      <c r="A103" s="20">
        <f t="shared" si="0"/>
        <v>101</v>
      </c>
      <c r="B103" s="124"/>
      <c r="C103" s="125"/>
      <c r="D103" s="47"/>
      <c r="E103" s="47"/>
      <c r="F103" s="40"/>
    </row>
    <row r="104" spans="1:6" ht="21.95" customHeight="1">
      <c r="A104" s="20">
        <f t="shared" si="0"/>
        <v>102</v>
      </c>
      <c r="B104" s="124"/>
      <c r="C104" s="125"/>
      <c r="D104" s="47"/>
      <c r="E104" s="47"/>
      <c r="F104" s="40"/>
    </row>
    <row r="105" spans="1:6" ht="21.95" customHeight="1">
      <c r="A105" s="20">
        <f t="shared" si="0"/>
        <v>103</v>
      </c>
      <c r="B105" s="124"/>
      <c r="C105" s="125"/>
      <c r="D105" s="47"/>
      <c r="E105" s="47"/>
      <c r="F105" s="40"/>
    </row>
    <row r="106" spans="1:6" ht="21.95" customHeight="1">
      <c r="A106" s="20">
        <f t="shared" si="0"/>
        <v>104</v>
      </c>
      <c r="B106" s="124"/>
      <c r="C106" s="125"/>
      <c r="D106" s="47"/>
      <c r="E106" s="47"/>
      <c r="F106" s="40"/>
    </row>
    <row r="107" spans="1:6" ht="21.95" customHeight="1">
      <c r="A107" s="20">
        <f t="shared" si="0"/>
        <v>105</v>
      </c>
      <c r="B107" s="124"/>
      <c r="C107" s="125"/>
      <c r="D107" s="47"/>
      <c r="E107" s="47"/>
      <c r="F107" s="40"/>
    </row>
    <row r="108" spans="1:6" ht="21.95" customHeight="1">
      <c r="A108" s="20">
        <f t="shared" si="0"/>
        <v>106</v>
      </c>
      <c r="B108" s="124"/>
      <c r="C108" s="126"/>
      <c r="D108" s="47"/>
      <c r="E108" s="47"/>
      <c r="F108" s="40"/>
    </row>
    <row r="109" spans="1:6" ht="21.95" customHeight="1">
      <c r="A109" s="20">
        <f t="shared" si="0"/>
        <v>107</v>
      </c>
      <c r="B109" s="124"/>
      <c r="C109" s="126"/>
      <c r="D109" s="47"/>
      <c r="E109" s="47"/>
      <c r="F109" s="40"/>
    </row>
    <row r="110" spans="1:6" ht="21.95" customHeight="1">
      <c r="A110" s="20">
        <f t="shared" si="0"/>
        <v>108</v>
      </c>
      <c r="B110" s="124"/>
      <c r="C110" s="126"/>
      <c r="D110" s="47"/>
      <c r="E110" s="47"/>
      <c r="F110" s="40"/>
    </row>
    <row r="111" spans="1:6" ht="21.95" customHeight="1">
      <c r="A111" s="20">
        <f t="shared" si="0"/>
        <v>109</v>
      </c>
      <c r="B111" s="124"/>
      <c r="C111" s="126"/>
      <c r="D111" s="47"/>
      <c r="E111" s="47"/>
      <c r="F111" s="40"/>
    </row>
    <row r="112" spans="1:6" ht="21.95" customHeight="1">
      <c r="A112" s="20">
        <f t="shared" si="0"/>
        <v>110</v>
      </c>
      <c r="B112" s="124"/>
      <c r="C112" s="126"/>
      <c r="D112" s="47"/>
      <c r="E112" s="47"/>
      <c r="F112" s="40"/>
    </row>
    <row r="113" spans="1:6" ht="21.95" customHeight="1">
      <c r="A113" s="20">
        <f t="shared" si="0"/>
        <v>111</v>
      </c>
      <c r="B113" s="124"/>
      <c r="C113" s="126"/>
      <c r="D113" s="47"/>
      <c r="E113" s="47"/>
      <c r="F113" s="40"/>
    </row>
    <row r="114" spans="1:6" ht="21.95" customHeight="1">
      <c r="A114" s="20">
        <f t="shared" si="0"/>
        <v>112</v>
      </c>
      <c r="B114" s="124"/>
      <c r="C114" s="125"/>
      <c r="D114" s="47"/>
      <c r="E114" s="47"/>
      <c r="F114" s="40"/>
    </row>
    <row r="115" spans="1:6" ht="21.95" customHeight="1">
      <c r="A115" s="20">
        <f t="shared" si="0"/>
        <v>113</v>
      </c>
      <c r="B115" s="124"/>
      <c r="C115" s="125"/>
      <c r="D115" s="47"/>
      <c r="E115" s="47"/>
      <c r="F115" s="40"/>
    </row>
    <row r="116" spans="1:6" ht="21.95" customHeight="1">
      <c r="A116" s="20">
        <f t="shared" si="0"/>
        <v>114</v>
      </c>
      <c r="B116" s="124"/>
      <c r="C116" s="126"/>
      <c r="D116" s="47"/>
      <c r="E116" s="47"/>
      <c r="F116" s="40"/>
    </row>
    <row r="117" spans="1:6" ht="21.95" customHeight="1">
      <c r="A117" s="20">
        <f t="shared" si="0"/>
        <v>115</v>
      </c>
      <c r="B117" s="124"/>
      <c r="C117" s="126"/>
      <c r="D117" s="47"/>
      <c r="E117" s="47"/>
      <c r="F117" s="40"/>
    </row>
    <row r="118" spans="1:6" ht="21.95" customHeight="1">
      <c r="A118" s="20">
        <f t="shared" si="0"/>
        <v>116</v>
      </c>
      <c r="B118" s="124"/>
      <c r="C118" s="126"/>
      <c r="D118" s="47"/>
      <c r="E118" s="47"/>
      <c r="F118" s="40"/>
    </row>
    <row r="119" spans="1:6" ht="21.95" customHeight="1">
      <c r="A119" s="20">
        <f t="shared" si="0"/>
        <v>117</v>
      </c>
      <c r="B119" s="124"/>
      <c r="C119" s="126"/>
      <c r="D119" s="47"/>
      <c r="E119" s="47"/>
      <c r="F119" s="40"/>
    </row>
    <row r="120" spans="1:6" ht="21.95" customHeight="1">
      <c r="A120" s="20">
        <f t="shared" si="0"/>
        <v>118</v>
      </c>
      <c r="B120" s="124"/>
      <c r="C120" s="126"/>
      <c r="D120" s="47"/>
      <c r="E120" s="47"/>
      <c r="F120" s="40"/>
    </row>
    <row r="121" spans="1:6" ht="21.95" customHeight="1">
      <c r="A121" s="20">
        <f t="shared" ref="A121:A184" si="1">A120 + 1</f>
        <v>119</v>
      </c>
      <c r="B121" s="124"/>
      <c r="C121" s="128"/>
      <c r="D121" s="47"/>
      <c r="E121" s="47"/>
      <c r="F121" s="40"/>
    </row>
    <row r="122" spans="1:6" ht="21.95" customHeight="1">
      <c r="A122" s="20">
        <f t="shared" si="1"/>
        <v>120</v>
      </c>
      <c r="B122" s="124"/>
      <c r="C122" s="128"/>
      <c r="D122" s="47"/>
      <c r="E122" s="47"/>
      <c r="F122" s="40"/>
    </row>
    <row r="123" spans="1:6" ht="21.95" customHeight="1">
      <c r="A123" s="20">
        <f t="shared" si="1"/>
        <v>121</v>
      </c>
      <c r="B123" s="124"/>
      <c r="C123" s="128"/>
      <c r="D123" s="47"/>
      <c r="E123" s="47"/>
      <c r="F123" s="40"/>
    </row>
    <row r="124" spans="1:6" ht="21.95" customHeight="1">
      <c r="A124" s="20">
        <f t="shared" si="1"/>
        <v>122</v>
      </c>
      <c r="B124" s="124"/>
      <c r="C124" s="126"/>
      <c r="D124" s="47"/>
      <c r="E124" s="47"/>
      <c r="F124" s="40"/>
    </row>
    <row r="125" spans="1:6" ht="21.95" customHeight="1">
      <c r="A125" s="20">
        <f t="shared" si="1"/>
        <v>123</v>
      </c>
      <c r="B125" s="124"/>
      <c r="C125" s="125"/>
      <c r="D125" s="47"/>
      <c r="E125" s="47"/>
      <c r="F125" s="40"/>
    </row>
    <row r="126" spans="1:6" ht="21.95" customHeight="1">
      <c r="A126" s="20">
        <f t="shared" si="1"/>
        <v>124</v>
      </c>
      <c r="B126" s="124"/>
      <c r="C126" s="125"/>
      <c r="D126" s="47"/>
      <c r="E126" s="47"/>
      <c r="F126" s="40"/>
    </row>
    <row r="127" spans="1:6" ht="21.95" customHeight="1">
      <c r="A127" s="20">
        <f t="shared" si="1"/>
        <v>125</v>
      </c>
      <c r="B127" s="124"/>
      <c r="C127" s="126"/>
      <c r="D127" s="47"/>
      <c r="E127" s="47"/>
      <c r="F127" s="40"/>
    </row>
    <row r="128" spans="1:6" ht="21.95" customHeight="1">
      <c r="A128" s="20">
        <f t="shared" si="1"/>
        <v>126</v>
      </c>
      <c r="B128" s="124"/>
      <c r="C128" s="126"/>
      <c r="D128" s="47"/>
      <c r="E128" s="47"/>
      <c r="F128" s="40"/>
    </row>
    <row r="129" spans="1:6" ht="21.95" customHeight="1">
      <c r="A129" s="20">
        <f t="shared" si="1"/>
        <v>127</v>
      </c>
      <c r="B129" s="124"/>
      <c r="C129" s="126"/>
      <c r="D129" s="47"/>
      <c r="E129" s="47"/>
      <c r="F129" s="40"/>
    </row>
    <row r="130" spans="1:6" ht="21.95" customHeight="1">
      <c r="A130" s="20">
        <f t="shared" si="1"/>
        <v>128</v>
      </c>
      <c r="B130" s="124"/>
      <c r="C130" s="128"/>
      <c r="D130" s="47"/>
      <c r="E130" s="47"/>
      <c r="F130" s="40"/>
    </row>
    <row r="131" spans="1:6" ht="21.95" customHeight="1">
      <c r="A131" s="20">
        <f t="shared" si="1"/>
        <v>129</v>
      </c>
      <c r="B131" s="124"/>
      <c r="C131" s="128"/>
      <c r="D131" s="47"/>
      <c r="E131" s="47"/>
      <c r="F131" s="40"/>
    </row>
    <row r="132" spans="1:6" ht="21.95" customHeight="1">
      <c r="A132" s="20">
        <f t="shared" si="1"/>
        <v>130</v>
      </c>
      <c r="B132" s="124"/>
      <c r="C132" s="128"/>
      <c r="D132" s="47"/>
      <c r="E132" s="47"/>
      <c r="F132" s="40"/>
    </row>
    <row r="133" spans="1:6" ht="21.95" customHeight="1">
      <c r="A133" s="20">
        <f t="shared" si="1"/>
        <v>131</v>
      </c>
      <c r="B133" s="124"/>
      <c r="C133" s="126"/>
      <c r="D133" s="47"/>
      <c r="E133" s="47"/>
      <c r="F133" s="40"/>
    </row>
    <row r="134" spans="1:6" ht="21.95" customHeight="1">
      <c r="A134" s="20">
        <f t="shared" si="1"/>
        <v>132</v>
      </c>
      <c r="B134" s="124"/>
      <c r="C134" s="126"/>
      <c r="D134" s="47"/>
      <c r="E134" s="47"/>
      <c r="F134" s="40"/>
    </row>
    <row r="135" spans="1:6" ht="21.95" customHeight="1">
      <c r="A135" s="20">
        <f t="shared" si="1"/>
        <v>133</v>
      </c>
      <c r="B135" s="124"/>
      <c r="C135" s="125"/>
      <c r="D135" s="47"/>
      <c r="E135" s="47"/>
      <c r="F135" s="40"/>
    </row>
    <row r="136" spans="1:6" ht="21.95" customHeight="1">
      <c r="A136" s="20">
        <f t="shared" si="1"/>
        <v>134</v>
      </c>
      <c r="B136" s="124"/>
      <c r="C136" s="126"/>
      <c r="D136" s="47"/>
      <c r="E136" s="47"/>
      <c r="F136" s="40"/>
    </row>
    <row r="137" spans="1:6" ht="21.95" customHeight="1">
      <c r="A137" s="20">
        <f t="shared" si="1"/>
        <v>135</v>
      </c>
      <c r="B137" s="124"/>
      <c r="C137" s="126"/>
      <c r="D137" s="47"/>
      <c r="E137" s="47"/>
      <c r="F137" s="40"/>
    </row>
    <row r="138" spans="1:6" ht="21.95" customHeight="1">
      <c r="A138" s="20">
        <f t="shared" si="1"/>
        <v>136</v>
      </c>
      <c r="B138" s="124"/>
      <c r="C138" s="126"/>
      <c r="D138" s="47"/>
      <c r="E138" s="47"/>
      <c r="F138" s="40"/>
    </row>
    <row r="139" spans="1:6" ht="21.95" customHeight="1">
      <c r="A139" s="20">
        <f t="shared" si="1"/>
        <v>137</v>
      </c>
      <c r="B139" s="124"/>
      <c r="C139" s="128"/>
      <c r="D139" s="47"/>
      <c r="E139" s="47"/>
      <c r="F139" s="40"/>
    </row>
    <row r="140" spans="1:6" ht="21.95" customHeight="1">
      <c r="A140" s="20">
        <f t="shared" si="1"/>
        <v>138</v>
      </c>
      <c r="B140" s="124"/>
      <c r="C140" s="128"/>
      <c r="D140" s="47"/>
      <c r="E140" s="47"/>
      <c r="F140" s="40"/>
    </row>
    <row r="141" spans="1:6" ht="21.95" customHeight="1">
      <c r="A141" s="20">
        <f t="shared" si="1"/>
        <v>139</v>
      </c>
      <c r="B141" s="124"/>
      <c r="C141" s="128"/>
      <c r="D141" s="47"/>
      <c r="E141" s="47"/>
      <c r="F141" s="40"/>
    </row>
    <row r="142" spans="1:6" ht="21.95" customHeight="1">
      <c r="A142" s="20">
        <f t="shared" si="1"/>
        <v>140</v>
      </c>
      <c r="B142" s="124"/>
      <c r="C142" s="126"/>
      <c r="D142" s="47"/>
      <c r="E142" s="47"/>
      <c r="F142" s="40"/>
    </row>
    <row r="143" spans="1:6" ht="21.95" customHeight="1">
      <c r="A143" s="20">
        <f t="shared" si="1"/>
        <v>141</v>
      </c>
      <c r="B143" s="124"/>
      <c r="C143" s="126"/>
      <c r="D143" s="47"/>
      <c r="E143" s="47"/>
      <c r="F143" s="40"/>
    </row>
    <row r="144" spans="1:6" ht="21.95" customHeight="1">
      <c r="A144" s="20">
        <f t="shared" si="1"/>
        <v>142</v>
      </c>
      <c r="B144" s="124"/>
      <c r="C144" s="125"/>
      <c r="D144" s="47"/>
      <c r="E144" s="47"/>
      <c r="F144" s="40"/>
    </row>
    <row r="145" spans="1:6" ht="21.95" customHeight="1">
      <c r="A145" s="20">
        <f t="shared" si="1"/>
        <v>143</v>
      </c>
      <c r="B145" s="124"/>
      <c r="C145" s="126"/>
      <c r="D145" s="47"/>
      <c r="E145" s="47"/>
      <c r="F145" s="40"/>
    </row>
    <row r="146" spans="1:6" ht="21.95" customHeight="1">
      <c r="A146" s="20">
        <f t="shared" si="1"/>
        <v>144</v>
      </c>
      <c r="B146" s="124"/>
      <c r="C146" s="126"/>
      <c r="D146" s="47"/>
      <c r="E146" s="47"/>
      <c r="F146" s="40"/>
    </row>
    <row r="147" spans="1:6" ht="21.95" customHeight="1">
      <c r="A147" s="20">
        <f t="shared" si="1"/>
        <v>145</v>
      </c>
      <c r="B147" s="124"/>
      <c r="C147" s="126"/>
      <c r="D147" s="47"/>
      <c r="E147" s="47"/>
      <c r="F147" s="40"/>
    </row>
    <row r="148" spans="1:6" ht="21.95" customHeight="1">
      <c r="A148" s="20">
        <f t="shared" si="1"/>
        <v>146</v>
      </c>
      <c r="B148" s="124"/>
      <c r="C148" s="126"/>
      <c r="D148" s="47"/>
      <c r="E148" s="47"/>
      <c r="F148" s="40"/>
    </row>
    <row r="149" spans="1:6" ht="21.95" customHeight="1">
      <c r="A149" s="20">
        <f t="shared" si="1"/>
        <v>147</v>
      </c>
      <c r="B149" s="124"/>
      <c r="C149" s="126"/>
      <c r="D149" s="47"/>
      <c r="E149" s="47"/>
      <c r="F149" s="40"/>
    </row>
    <row r="150" spans="1:6" ht="21.95" customHeight="1">
      <c r="A150" s="20">
        <f t="shared" si="1"/>
        <v>148</v>
      </c>
      <c r="B150" s="124"/>
      <c r="C150" s="126"/>
      <c r="D150" s="47"/>
      <c r="E150" s="47"/>
      <c r="F150" s="40"/>
    </row>
    <row r="151" spans="1:6" ht="21.95" customHeight="1">
      <c r="A151" s="20">
        <f t="shared" si="1"/>
        <v>149</v>
      </c>
      <c r="B151" s="124"/>
      <c r="C151" s="126"/>
      <c r="D151" s="47"/>
      <c r="E151" s="47"/>
      <c r="F151" s="40"/>
    </row>
    <row r="152" spans="1:6" ht="21.95" customHeight="1">
      <c r="A152" s="20">
        <f t="shared" si="1"/>
        <v>150</v>
      </c>
      <c r="B152" s="124"/>
      <c r="C152" s="127"/>
      <c r="D152" s="47"/>
      <c r="E152" s="47"/>
      <c r="F152" s="40"/>
    </row>
    <row r="153" spans="1:6" ht="21.95" customHeight="1">
      <c r="A153" s="20">
        <f t="shared" si="1"/>
        <v>151</v>
      </c>
      <c r="B153" s="124"/>
      <c r="C153" s="125"/>
      <c r="D153" s="47"/>
      <c r="E153" s="47"/>
      <c r="F153" s="40"/>
    </row>
    <row r="154" spans="1:6" ht="21.95" customHeight="1">
      <c r="A154" s="20">
        <f t="shared" si="1"/>
        <v>152</v>
      </c>
      <c r="B154" s="124"/>
      <c r="C154" s="126"/>
      <c r="D154" s="47"/>
      <c r="E154" s="47"/>
      <c r="F154" s="40"/>
    </row>
    <row r="155" spans="1:6" ht="21.95" customHeight="1">
      <c r="A155" s="20">
        <f t="shared" si="1"/>
        <v>153</v>
      </c>
      <c r="B155" s="124"/>
      <c r="C155" s="126"/>
      <c r="D155" s="47"/>
      <c r="E155" s="47"/>
      <c r="F155" s="40"/>
    </row>
    <row r="156" spans="1:6" ht="21.95" customHeight="1">
      <c r="A156" s="20">
        <f t="shared" si="1"/>
        <v>154</v>
      </c>
      <c r="B156" s="124"/>
      <c r="C156" s="126"/>
      <c r="D156" s="47"/>
      <c r="E156" s="47"/>
      <c r="F156" s="40"/>
    </row>
    <row r="157" spans="1:6" ht="21.95" customHeight="1">
      <c r="A157" s="20">
        <f t="shared" si="1"/>
        <v>155</v>
      </c>
      <c r="B157" s="129"/>
      <c r="C157" s="126"/>
      <c r="D157" s="47"/>
      <c r="E157" s="47"/>
      <c r="F157" s="40"/>
    </row>
    <row r="158" spans="1:6" ht="21.95" customHeight="1">
      <c r="A158" s="20">
        <f t="shared" si="1"/>
        <v>156</v>
      </c>
      <c r="B158" s="129"/>
      <c r="C158" s="126"/>
      <c r="D158" s="47"/>
      <c r="E158" s="47"/>
      <c r="F158" s="40"/>
    </row>
    <row r="159" spans="1:6" ht="21.95" customHeight="1">
      <c r="A159" s="20">
        <f t="shared" si="1"/>
        <v>157</v>
      </c>
      <c r="B159" s="129"/>
      <c r="C159" s="127"/>
      <c r="D159" s="47"/>
      <c r="E159" s="47"/>
      <c r="F159" s="40"/>
    </row>
    <row r="160" spans="1:6" ht="21.95" customHeight="1">
      <c r="A160" s="20">
        <f t="shared" si="1"/>
        <v>158</v>
      </c>
      <c r="B160" s="129"/>
      <c r="C160" s="127"/>
      <c r="D160" s="47"/>
      <c r="E160" s="47"/>
      <c r="F160" s="40"/>
    </row>
    <row r="161" spans="1:6" ht="21.95" customHeight="1">
      <c r="A161" s="20">
        <f t="shared" si="1"/>
        <v>159</v>
      </c>
      <c r="B161" s="129"/>
      <c r="C161" s="125"/>
      <c r="D161" s="47"/>
      <c r="E161" s="47"/>
      <c r="F161" s="40"/>
    </row>
    <row r="162" spans="1:6" ht="21.95" customHeight="1">
      <c r="A162" s="20">
        <f t="shared" si="1"/>
        <v>160</v>
      </c>
      <c r="B162" s="129"/>
      <c r="C162" s="126"/>
      <c r="D162" s="47"/>
      <c r="E162" s="47"/>
      <c r="F162" s="40"/>
    </row>
    <row r="163" spans="1:6" ht="21.95" customHeight="1">
      <c r="A163" s="20">
        <f t="shared" si="1"/>
        <v>161</v>
      </c>
      <c r="B163" s="129"/>
      <c r="C163" s="126"/>
      <c r="D163" s="47"/>
      <c r="E163" s="47"/>
      <c r="F163" s="40"/>
    </row>
    <row r="164" spans="1:6" ht="21.95" customHeight="1">
      <c r="A164" s="20">
        <f t="shared" si="1"/>
        <v>162</v>
      </c>
      <c r="B164" s="129"/>
      <c r="C164" s="126"/>
      <c r="D164" s="47"/>
      <c r="E164" s="47"/>
      <c r="F164" s="40"/>
    </row>
    <row r="165" spans="1:6" ht="21.95" customHeight="1">
      <c r="A165" s="20">
        <f t="shared" si="1"/>
        <v>163</v>
      </c>
      <c r="B165" s="129"/>
      <c r="C165" s="126"/>
      <c r="D165" s="47"/>
      <c r="E165" s="47"/>
      <c r="F165" s="40"/>
    </row>
    <row r="166" spans="1:6" ht="21.95" customHeight="1">
      <c r="A166" s="20">
        <f t="shared" si="1"/>
        <v>164</v>
      </c>
      <c r="B166" s="129"/>
      <c r="C166" s="126"/>
      <c r="D166" s="47"/>
      <c r="E166" s="47"/>
      <c r="F166" s="40"/>
    </row>
    <row r="167" spans="1:6" ht="21.95" customHeight="1">
      <c r="A167" s="20">
        <f t="shared" si="1"/>
        <v>165</v>
      </c>
      <c r="B167" s="129"/>
      <c r="C167" s="128"/>
      <c r="D167" s="47"/>
      <c r="E167" s="47"/>
      <c r="F167" s="40"/>
    </row>
    <row r="168" spans="1:6" ht="21.95" customHeight="1">
      <c r="A168" s="20">
        <f t="shared" si="1"/>
        <v>166</v>
      </c>
      <c r="B168" s="129"/>
      <c r="C168" s="128"/>
      <c r="D168" s="47"/>
      <c r="E168" s="47"/>
      <c r="F168" s="40"/>
    </row>
    <row r="169" spans="1:6" ht="21.95" customHeight="1">
      <c r="A169" s="20">
        <f t="shared" si="1"/>
        <v>167</v>
      </c>
      <c r="B169" s="129"/>
      <c r="C169" s="128"/>
      <c r="D169" s="47"/>
      <c r="E169" s="47"/>
      <c r="F169" s="40"/>
    </row>
    <row r="170" spans="1:6" ht="21.95" customHeight="1">
      <c r="A170" s="20">
        <f t="shared" si="1"/>
        <v>168</v>
      </c>
      <c r="B170" s="129"/>
      <c r="C170" s="126"/>
      <c r="D170" s="47"/>
      <c r="E170" s="47"/>
      <c r="F170" s="40"/>
    </row>
    <row r="171" spans="1:6" ht="21.95" customHeight="1">
      <c r="A171" s="20">
        <f t="shared" si="1"/>
        <v>169</v>
      </c>
      <c r="B171" s="129"/>
      <c r="C171" s="125"/>
      <c r="D171" s="47"/>
      <c r="E171" s="47"/>
      <c r="F171" s="40"/>
    </row>
    <row r="172" spans="1:6" ht="21.95" customHeight="1">
      <c r="A172" s="20">
        <f t="shared" si="1"/>
        <v>170</v>
      </c>
      <c r="B172" s="129"/>
      <c r="C172" s="125"/>
      <c r="D172" s="47"/>
      <c r="E172" s="47"/>
      <c r="F172" s="40"/>
    </row>
    <row r="173" spans="1:6" ht="21.95" customHeight="1">
      <c r="A173" s="20">
        <f t="shared" si="1"/>
        <v>171</v>
      </c>
      <c r="B173" s="129"/>
      <c r="C173" s="125"/>
      <c r="D173" s="47"/>
      <c r="E173" s="47"/>
      <c r="F173" s="40"/>
    </row>
    <row r="174" spans="1:6" ht="21.95" customHeight="1">
      <c r="A174" s="20">
        <f t="shared" si="1"/>
        <v>172</v>
      </c>
      <c r="B174" s="129"/>
      <c r="C174" s="126"/>
      <c r="D174" s="47"/>
      <c r="E174" s="47"/>
      <c r="F174" s="40"/>
    </row>
    <row r="175" spans="1:6" ht="21.95" customHeight="1">
      <c r="A175" s="20">
        <f t="shared" si="1"/>
        <v>173</v>
      </c>
      <c r="B175" s="129"/>
      <c r="C175" s="126"/>
      <c r="D175" s="47"/>
      <c r="E175" s="47"/>
      <c r="F175" s="40"/>
    </row>
    <row r="176" spans="1:6" ht="21.95" customHeight="1">
      <c r="A176" s="20">
        <f t="shared" si="1"/>
        <v>174</v>
      </c>
      <c r="B176" s="129"/>
      <c r="C176" s="126"/>
      <c r="D176" s="47"/>
      <c r="E176" s="47"/>
      <c r="F176" s="40"/>
    </row>
    <row r="177" spans="1:6" ht="21.95" customHeight="1">
      <c r="A177" s="20">
        <f t="shared" si="1"/>
        <v>175</v>
      </c>
      <c r="B177" s="129"/>
      <c r="C177" s="128"/>
      <c r="D177" s="47"/>
      <c r="E177" s="47"/>
      <c r="F177" s="40"/>
    </row>
    <row r="178" spans="1:6" ht="21.95" customHeight="1">
      <c r="A178" s="20">
        <f t="shared" si="1"/>
        <v>176</v>
      </c>
      <c r="B178" s="129"/>
      <c r="C178" s="128"/>
      <c r="D178" s="47"/>
      <c r="E178" s="47"/>
      <c r="F178" s="40"/>
    </row>
    <row r="179" spans="1:6" ht="21.95" customHeight="1">
      <c r="A179" s="20">
        <f t="shared" si="1"/>
        <v>177</v>
      </c>
      <c r="B179" s="129"/>
      <c r="C179" s="126"/>
      <c r="D179" s="47"/>
      <c r="E179" s="47"/>
      <c r="F179" s="40"/>
    </row>
    <row r="180" spans="1:6" ht="21.95" customHeight="1">
      <c r="A180" s="20">
        <f t="shared" si="1"/>
        <v>178</v>
      </c>
      <c r="B180" s="129"/>
      <c r="C180" s="125"/>
      <c r="D180" s="47"/>
      <c r="E180" s="47"/>
      <c r="F180" s="40"/>
    </row>
    <row r="181" spans="1:6" ht="21.95" customHeight="1">
      <c r="A181" s="20">
        <f t="shared" si="1"/>
        <v>179</v>
      </c>
      <c r="B181" s="129"/>
      <c r="C181" s="126"/>
      <c r="D181" s="47"/>
      <c r="E181" s="47"/>
      <c r="F181" s="40"/>
    </row>
    <row r="182" spans="1:6" ht="21.95" customHeight="1">
      <c r="A182" s="20">
        <f t="shared" si="1"/>
        <v>180</v>
      </c>
      <c r="B182" s="129"/>
      <c r="C182" s="126"/>
      <c r="D182" s="47"/>
      <c r="E182" s="47"/>
      <c r="F182" s="40"/>
    </row>
    <row r="183" spans="1:6" ht="21.95" customHeight="1">
      <c r="A183" s="20">
        <f t="shared" si="1"/>
        <v>181</v>
      </c>
      <c r="B183" s="129"/>
      <c r="C183" s="126"/>
      <c r="D183" s="47"/>
      <c r="E183" s="47"/>
      <c r="F183" s="40"/>
    </row>
    <row r="184" spans="1:6" ht="21.95" customHeight="1">
      <c r="A184" s="20">
        <f t="shared" si="1"/>
        <v>182</v>
      </c>
      <c r="B184" s="129"/>
      <c r="C184" s="126"/>
      <c r="D184" s="47"/>
      <c r="E184" s="47"/>
      <c r="F184" s="40"/>
    </row>
    <row r="185" spans="1:6" ht="21.95" customHeight="1">
      <c r="A185" s="20">
        <f t="shared" ref="A185:A248" si="2">A184 + 1</f>
        <v>183</v>
      </c>
      <c r="B185" s="129"/>
      <c r="C185" s="126"/>
      <c r="D185" s="47"/>
      <c r="E185" s="47"/>
      <c r="F185" s="40"/>
    </row>
    <row r="186" spans="1:6" ht="21.95" customHeight="1">
      <c r="A186" s="20">
        <f t="shared" si="2"/>
        <v>184</v>
      </c>
      <c r="B186" s="129"/>
      <c r="C186" s="126"/>
      <c r="D186" s="47"/>
      <c r="E186" s="47"/>
      <c r="F186" s="40"/>
    </row>
    <row r="187" spans="1:6" ht="21.95" customHeight="1">
      <c r="A187" s="20">
        <f t="shared" si="2"/>
        <v>185</v>
      </c>
      <c r="B187" s="129"/>
      <c r="C187" s="127"/>
      <c r="D187" s="47"/>
      <c r="E187" s="47"/>
      <c r="F187" s="40"/>
    </row>
    <row r="188" spans="1:6" ht="21.95" customHeight="1">
      <c r="A188" s="20">
        <f t="shared" si="2"/>
        <v>186</v>
      </c>
      <c r="B188" s="129"/>
      <c r="C188" s="128"/>
      <c r="D188" s="47"/>
      <c r="E188" s="47"/>
      <c r="F188" s="40"/>
    </row>
    <row r="189" spans="1:6" ht="21.95" customHeight="1">
      <c r="A189" s="20">
        <f t="shared" si="2"/>
        <v>187</v>
      </c>
      <c r="B189" s="129"/>
      <c r="C189" s="128"/>
      <c r="D189" s="47"/>
      <c r="E189" s="47"/>
      <c r="F189" s="40"/>
    </row>
    <row r="190" spans="1:6" ht="21.95" customHeight="1">
      <c r="A190" s="20">
        <f t="shared" si="2"/>
        <v>188</v>
      </c>
      <c r="B190" s="129"/>
      <c r="C190" s="128"/>
      <c r="D190" s="47"/>
      <c r="E190" s="47"/>
      <c r="F190" s="40"/>
    </row>
    <row r="191" spans="1:6" ht="21.95" customHeight="1">
      <c r="A191" s="20">
        <f t="shared" si="2"/>
        <v>189</v>
      </c>
      <c r="B191" s="129"/>
      <c r="C191" s="126"/>
      <c r="D191" s="47"/>
      <c r="E191" s="47"/>
      <c r="F191" s="40"/>
    </row>
    <row r="192" spans="1:6" ht="21.95" customHeight="1">
      <c r="A192" s="20">
        <f t="shared" si="2"/>
        <v>190</v>
      </c>
      <c r="B192" s="129"/>
      <c r="C192" s="126"/>
      <c r="D192" s="47"/>
      <c r="E192" s="47"/>
      <c r="F192" s="40"/>
    </row>
    <row r="193" spans="1:6" ht="21.95" customHeight="1">
      <c r="A193" s="20">
        <f t="shared" si="2"/>
        <v>191</v>
      </c>
      <c r="B193" s="129"/>
      <c r="C193" s="126"/>
      <c r="D193" s="47"/>
      <c r="E193" s="47"/>
      <c r="F193" s="40"/>
    </row>
    <row r="194" spans="1:6" ht="21.95" customHeight="1">
      <c r="A194" s="20">
        <f t="shared" si="2"/>
        <v>192</v>
      </c>
      <c r="B194" s="129"/>
      <c r="C194" s="126"/>
      <c r="D194" s="47"/>
      <c r="E194" s="47"/>
      <c r="F194" s="40"/>
    </row>
    <row r="195" spans="1:6" ht="21.95" customHeight="1">
      <c r="A195" s="20">
        <f t="shared" si="2"/>
        <v>193</v>
      </c>
      <c r="B195" s="129"/>
      <c r="C195" s="126"/>
      <c r="D195" s="47"/>
      <c r="E195" s="47"/>
      <c r="F195" s="40"/>
    </row>
    <row r="196" spans="1:6" ht="21.95" customHeight="1">
      <c r="A196" s="20">
        <f t="shared" si="2"/>
        <v>194</v>
      </c>
      <c r="B196" s="129"/>
      <c r="C196" s="126"/>
      <c r="D196" s="47"/>
      <c r="E196" s="47"/>
      <c r="F196" s="40"/>
    </row>
    <row r="197" spans="1:6" ht="21.95" customHeight="1">
      <c r="A197" s="20">
        <f t="shared" si="2"/>
        <v>195</v>
      </c>
      <c r="B197" s="129"/>
      <c r="C197" s="126"/>
      <c r="D197" s="47"/>
      <c r="E197" s="47"/>
      <c r="F197" s="40"/>
    </row>
    <row r="198" spans="1:6" ht="21.95" customHeight="1">
      <c r="A198" s="20">
        <f t="shared" si="2"/>
        <v>196</v>
      </c>
      <c r="B198" s="129"/>
      <c r="C198" s="126"/>
      <c r="D198" s="47"/>
      <c r="E198" s="47"/>
      <c r="F198" s="40"/>
    </row>
    <row r="199" spans="1:6" ht="21.95" customHeight="1">
      <c r="A199" s="20">
        <f t="shared" si="2"/>
        <v>197</v>
      </c>
      <c r="B199" s="129"/>
      <c r="C199" s="126"/>
      <c r="D199" s="47"/>
      <c r="E199" s="47"/>
      <c r="F199" s="40"/>
    </row>
    <row r="200" spans="1:6" ht="21.95" customHeight="1">
      <c r="A200" s="20">
        <f t="shared" si="2"/>
        <v>198</v>
      </c>
      <c r="B200" s="129"/>
      <c r="C200" s="126"/>
      <c r="D200" s="47"/>
      <c r="E200" s="47"/>
      <c r="F200" s="40"/>
    </row>
    <row r="201" spans="1:6" ht="21.95" customHeight="1">
      <c r="A201" s="20">
        <f t="shared" si="2"/>
        <v>199</v>
      </c>
      <c r="B201" s="129"/>
      <c r="C201" s="126"/>
      <c r="D201" s="47"/>
      <c r="E201" s="47"/>
      <c r="F201" s="40"/>
    </row>
    <row r="202" spans="1:6" ht="21.95" customHeight="1">
      <c r="A202" s="20">
        <f t="shared" si="2"/>
        <v>200</v>
      </c>
      <c r="B202" s="129"/>
      <c r="C202" s="127"/>
      <c r="D202" s="47"/>
      <c r="E202" s="47"/>
      <c r="F202" s="40"/>
    </row>
    <row r="203" spans="1:6" ht="21.95" customHeight="1">
      <c r="A203" s="20">
        <f t="shared" si="2"/>
        <v>201</v>
      </c>
      <c r="B203" s="129"/>
      <c r="C203" s="125"/>
      <c r="D203" s="47"/>
      <c r="E203" s="47"/>
      <c r="F203" s="40"/>
    </row>
    <row r="204" spans="1:6" ht="21.95" customHeight="1">
      <c r="A204" s="20">
        <f t="shared" si="2"/>
        <v>202</v>
      </c>
      <c r="B204" s="129"/>
      <c r="C204" s="126"/>
      <c r="D204" s="47"/>
      <c r="E204" s="47"/>
      <c r="F204" s="40"/>
    </row>
    <row r="205" spans="1:6" ht="21.95" customHeight="1">
      <c r="A205" s="20">
        <f t="shared" si="2"/>
        <v>203</v>
      </c>
      <c r="B205" s="129"/>
      <c r="C205" s="126"/>
      <c r="D205" s="47"/>
      <c r="E205" s="47"/>
      <c r="F205" s="40"/>
    </row>
    <row r="206" spans="1:6" ht="21.95" customHeight="1">
      <c r="A206" s="20">
        <f t="shared" si="2"/>
        <v>204</v>
      </c>
      <c r="B206" s="129"/>
      <c r="C206" s="125"/>
      <c r="D206" s="47"/>
      <c r="E206" s="47"/>
      <c r="F206" s="40"/>
    </row>
    <row r="207" spans="1:6" ht="21.95" customHeight="1">
      <c r="A207" s="20">
        <f t="shared" si="2"/>
        <v>205</v>
      </c>
      <c r="B207" s="129"/>
      <c r="C207" s="126"/>
      <c r="D207" s="47"/>
      <c r="E207" s="47"/>
      <c r="F207" s="40"/>
    </row>
    <row r="208" spans="1:6" ht="21.95" customHeight="1">
      <c r="A208" s="20">
        <f t="shared" si="2"/>
        <v>206</v>
      </c>
      <c r="B208" s="129"/>
      <c r="C208" s="125"/>
      <c r="D208" s="47"/>
      <c r="E208" s="47"/>
      <c r="F208" s="40"/>
    </row>
    <row r="209" spans="1:6" ht="21.95" customHeight="1">
      <c r="A209" s="20">
        <f t="shared" si="2"/>
        <v>207</v>
      </c>
      <c r="B209" s="129"/>
      <c r="C209" s="125"/>
      <c r="D209" s="47"/>
      <c r="E209" s="47"/>
      <c r="F209" s="40"/>
    </row>
    <row r="210" spans="1:6" ht="21.95" customHeight="1">
      <c r="A210" s="20">
        <f t="shared" si="2"/>
        <v>208</v>
      </c>
      <c r="B210" s="129"/>
      <c r="C210" s="125"/>
      <c r="D210" s="47"/>
      <c r="E210" s="47"/>
      <c r="F210" s="40"/>
    </row>
    <row r="211" spans="1:6" ht="21.95" customHeight="1">
      <c r="A211" s="20">
        <f t="shared" si="2"/>
        <v>209</v>
      </c>
      <c r="B211" s="129"/>
      <c r="C211" s="126"/>
      <c r="D211" s="47"/>
      <c r="E211" s="47"/>
      <c r="F211" s="40"/>
    </row>
    <row r="212" spans="1:6" ht="21.95" customHeight="1">
      <c r="A212" s="20">
        <f t="shared" si="2"/>
        <v>210</v>
      </c>
      <c r="B212" s="129"/>
      <c r="C212" s="125"/>
      <c r="D212" s="47"/>
      <c r="E212" s="47"/>
      <c r="F212" s="40"/>
    </row>
    <row r="213" spans="1:6" ht="21.95" customHeight="1">
      <c r="A213" s="20">
        <f t="shared" si="2"/>
        <v>211</v>
      </c>
      <c r="B213" s="129"/>
      <c r="C213" s="125"/>
      <c r="D213" s="47"/>
      <c r="E213" s="47"/>
      <c r="F213" s="40"/>
    </row>
    <row r="214" spans="1:6" ht="21.95" customHeight="1">
      <c r="A214" s="20">
        <f t="shared" si="2"/>
        <v>212</v>
      </c>
      <c r="B214" s="129"/>
      <c r="C214" s="125"/>
      <c r="D214" s="47"/>
      <c r="E214" s="47"/>
      <c r="F214" s="40"/>
    </row>
    <row r="215" spans="1:6" ht="21.95" customHeight="1">
      <c r="A215" s="20">
        <f t="shared" si="2"/>
        <v>213</v>
      </c>
      <c r="B215" s="129"/>
      <c r="C215" s="124"/>
      <c r="D215" s="47"/>
      <c r="E215" s="47"/>
      <c r="F215" s="40"/>
    </row>
    <row r="216" spans="1:6" ht="21.95" customHeight="1">
      <c r="A216" s="20">
        <f t="shared" si="2"/>
        <v>214</v>
      </c>
      <c r="B216" s="129"/>
      <c r="C216" s="124"/>
      <c r="D216" s="47"/>
      <c r="E216" s="47"/>
      <c r="F216" s="40"/>
    </row>
    <row r="217" spans="1:6" ht="21.95" customHeight="1">
      <c r="A217" s="20">
        <f t="shared" si="2"/>
        <v>215</v>
      </c>
      <c r="B217" s="129"/>
      <c r="C217" s="124"/>
      <c r="D217" s="47"/>
      <c r="E217" s="47"/>
      <c r="F217" s="40"/>
    </row>
    <row r="218" spans="1:6" ht="21.95" customHeight="1">
      <c r="A218" s="20">
        <f t="shared" si="2"/>
        <v>216</v>
      </c>
      <c r="B218" s="129"/>
      <c r="C218" s="124"/>
      <c r="D218" s="47"/>
      <c r="E218" s="47"/>
      <c r="F218" s="40"/>
    </row>
    <row r="219" spans="1:6" ht="21.95" customHeight="1">
      <c r="A219" s="20">
        <f t="shared" si="2"/>
        <v>217</v>
      </c>
      <c r="B219" s="129"/>
      <c r="C219" s="124"/>
      <c r="D219" s="47"/>
      <c r="E219" s="47"/>
      <c r="F219" s="40"/>
    </row>
    <row r="220" spans="1:6" ht="21.95" customHeight="1">
      <c r="A220" s="20">
        <f t="shared" si="2"/>
        <v>218</v>
      </c>
      <c r="B220" s="129"/>
      <c r="C220" s="124"/>
      <c r="D220" s="47"/>
      <c r="E220" s="47"/>
      <c r="F220" s="40"/>
    </row>
    <row r="221" spans="1:6" ht="21.95" customHeight="1">
      <c r="A221" s="20">
        <f t="shared" si="2"/>
        <v>219</v>
      </c>
      <c r="B221" s="129"/>
      <c r="C221" s="124"/>
      <c r="D221" s="47"/>
      <c r="E221" s="47"/>
      <c r="F221" s="40"/>
    </row>
    <row r="222" spans="1:6" ht="21.95" customHeight="1">
      <c r="A222" s="20">
        <f t="shared" si="2"/>
        <v>220</v>
      </c>
      <c r="B222" s="129"/>
      <c r="C222" s="124"/>
      <c r="D222" s="47"/>
      <c r="E222" s="47"/>
      <c r="F222" s="40"/>
    </row>
    <row r="223" spans="1:6" ht="21.95" customHeight="1">
      <c r="A223" s="20">
        <f t="shared" si="2"/>
        <v>221</v>
      </c>
      <c r="B223" s="129"/>
      <c r="C223" s="124"/>
      <c r="D223" s="47"/>
      <c r="E223" s="47"/>
      <c r="F223" s="40"/>
    </row>
    <row r="224" spans="1:6" ht="21.95" customHeight="1">
      <c r="A224" s="20">
        <f t="shared" si="2"/>
        <v>222</v>
      </c>
      <c r="B224" s="129"/>
      <c r="C224" s="124"/>
      <c r="D224" s="47"/>
      <c r="E224" s="47"/>
      <c r="F224" s="40"/>
    </row>
    <row r="225" spans="1:6" ht="21.95" customHeight="1">
      <c r="A225" s="20">
        <f t="shared" si="2"/>
        <v>223</v>
      </c>
      <c r="B225" s="129"/>
      <c r="C225" s="124"/>
      <c r="D225" s="47"/>
      <c r="E225" s="47"/>
      <c r="F225" s="40"/>
    </row>
    <row r="226" spans="1:6" ht="21.95" customHeight="1">
      <c r="A226" s="20">
        <f t="shared" si="2"/>
        <v>224</v>
      </c>
      <c r="B226" s="129"/>
      <c r="C226" s="124"/>
      <c r="D226" s="47"/>
      <c r="E226" s="47"/>
      <c r="F226" s="40"/>
    </row>
    <row r="227" spans="1:6" ht="21.95" customHeight="1">
      <c r="A227" s="20">
        <f t="shared" si="2"/>
        <v>225</v>
      </c>
      <c r="B227" s="129"/>
      <c r="C227" s="124"/>
      <c r="D227" s="47"/>
      <c r="E227" s="47"/>
      <c r="F227" s="40"/>
    </row>
    <row r="228" spans="1:6" ht="21.95" customHeight="1">
      <c r="A228" s="20">
        <f t="shared" si="2"/>
        <v>226</v>
      </c>
      <c r="B228" s="129"/>
      <c r="C228" s="124"/>
      <c r="D228" s="47"/>
      <c r="E228" s="47"/>
      <c r="F228" s="40"/>
    </row>
    <row r="229" spans="1:6" ht="21.95" customHeight="1">
      <c r="A229" s="20">
        <f t="shared" si="2"/>
        <v>227</v>
      </c>
      <c r="B229" s="129"/>
      <c r="C229" s="124"/>
      <c r="D229" s="47"/>
      <c r="E229" s="47"/>
      <c r="F229" s="40"/>
    </row>
    <row r="230" spans="1:6" ht="21.95" customHeight="1">
      <c r="A230" s="20">
        <f t="shared" si="2"/>
        <v>228</v>
      </c>
      <c r="B230" s="129"/>
      <c r="C230" s="124"/>
      <c r="D230" s="47"/>
      <c r="E230" s="47"/>
      <c r="F230" s="40"/>
    </row>
    <row r="231" spans="1:6" ht="21.95" customHeight="1">
      <c r="A231" s="20">
        <f t="shared" si="2"/>
        <v>229</v>
      </c>
      <c r="B231" s="129"/>
      <c r="C231" s="124"/>
      <c r="D231" s="47"/>
      <c r="E231" s="47"/>
      <c r="F231" s="40"/>
    </row>
    <row r="232" spans="1:6" ht="21.95" customHeight="1">
      <c r="A232" s="20">
        <f t="shared" si="2"/>
        <v>230</v>
      </c>
      <c r="B232" s="129"/>
      <c r="C232" s="124"/>
      <c r="D232" s="47"/>
      <c r="E232" s="47"/>
      <c r="F232" s="40"/>
    </row>
    <row r="233" spans="1:6" ht="21.95" customHeight="1">
      <c r="A233" s="20">
        <f t="shared" si="2"/>
        <v>231</v>
      </c>
      <c r="B233" s="129"/>
      <c r="C233" s="124"/>
      <c r="D233" s="47"/>
      <c r="E233" s="47"/>
      <c r="F233" s="40"/>
    </row>
    <row r="234" spans="1:6" ht="21.95" customHeight="1">
      <c r="A234" s="20">
        <f t="shared" si="2"/>
        <v>232</v>
      </c>
      <c r="B234" s="129"/>
      <c r="C234" s="124"/>
      <c r="D234" s="47"/>
      <c r="E234" s="47"/>
      <c r="F234" s="40"/>
    </row>
    <row r="235" spans="1:6" ht="21.95" customHeight="1">
      <c r="A235" s="20">
        <f t="shared" si="2"/>
        <v>233</v>
      </c>
      <c r="B235" s="129"/>
      <c r="C235" s="124"/>
      <c r="D235" s="47"/>
      <c r="E235" s="47"/>
      <c r="F235" s="40"/>
    </row>
    <row r="236" spans="1:6" ht="21.95" customHeight="1">
      <c r="A236" s="20">
        <f t="shared" si="2"/>
        <v>234</v>
      </c>
      <c r="B236" s="129"/>
      <c r="C236" s="124"/>
      <c r="D236" s="47"/>
      <c r="E236" s="47"/>
      <c r="F236" s="40"/>
    </row>
    <row r="237" spans="1:6" ht="21.95" customHeight="1">
      <c r="A237" s="20">
        <f t="shared" si="2"/>
        <v>235</v>
      </c>
      <c r="B237" s="129"/>
      <c r="C237" s="124"/>
      <c r="D237" s="47"/>
      <c r="E237" s="47"/>
      <c r="F237" s="40"/>
    </row>
    <row r="238" spans="1:6" ht="21.95" customHeight="1">
      <c r="A238" s="20">
        <f t="shared" si="2"/>
        <v>236</v>
      </c>
      <c r="B238" s="129"/>
      <c r="C238" s="124"/>
      <c r="D238" s="47"/>
      <c r="E238" s="47"/>
      <c r="F238" s="40"/>
    </row>
    <row r="239" spans="1:6" ht="21.95" customHeight="1">
      <c r="A239" s="20">
        <f t="shared" si="2"/>
        <v>237</v>
      </c>
      <c r="B239" s="129"/>
      <c r="C239" s="124"/>
      <c r="D239" s="47"/>
      <c r="E239" s="47"/>
      <c r="F239" s="40"/>
    </row>
    <row r="240" spans="1:6" ht="21.95" customHeight="1">
      <c r="A240" s="20">
        <f t="shared" si="2"/>
        <v>238</v>
      </c>
      <c r="B240" s="129"/>
      <c r="C240" s="124"/>
      <c r="D240" s="47"/>
      <c r="E240" s="47"/>
      <c r="F240" s="40"/>
    </row>
    <row r="241" spans="1:6" ht="21.95" customHeight="1">
      <c r="A241" s="20">
        <f t="shared" si="2"/>
        <v>239</v>
      </c>
      <c r="B241" s="129"/>
      <c r="C241" s="124"/>
      <c r="D241" s="47"/>
      <c r="E241" s="47"/>
      <c r="F241" s="40"/>
    </row>
    <row r="242" spans="1:6" ht="21.95" customHeight="1">
      <c r="A242" s="20">
        <f t="shared" si="2"/>
        <v>240</v>
      </c>
      <c r="B242" s="129"/>
      <c r="C242" s="124"/>
      <c r="D242" s="47"/>
      <c r="E242" s="47"/>
      <c r="F242" s="40"/>
    </row>
    <row r="243" spans="1:6" ht="21.95" customHeight="1">
      <c r="A243" s="20">
        <f t="shared" si="2"/>
        <v>241</v>
      </c>
      <c r="B243" s="129"/>
      <c r="C243" s="124"/>
      <c r="D243" s="47"/>
      <c r="E243" s="47"/>
      <c r="F243" s="40"/>
    </row>
    <row r="244" spans="1:6" ht="21.95" customHeight="1">
      <c r="A244" s="20">
        <f t="shared" si="2"/>
        <v>242</v>
      </c>
      <c r="B244" s="129"/>
      <c r="C244" s="124"/>
      <c r="D244" s="47"/>
      <c r="E244" s="47"/>
      <c r="F244" s="40"/>
    </row>
    <row r="245" spans="1:6" ht="21.95" customHeight="1">
      <c r="A245" s="20">
        <f t="shared" si="2"/>
        <v>243</v>
      </c>
      <c r="B245" s="129"/>
      <c r="C245" s="124"/>
      <c r="D245" s="47"/>
      <c r="E245" s="47"/>
      <c r="F245" s="40"/>
    </row>
    <row r="246" spans="1:6" ht="21.95" customHeight="1">
      <c r="A246" s="20">
        <f t="shared" si="2"/>
        <v>244</v>
      </c>
      <c r="B246" s="129"/>
      <c r="C246" s="124"/>
      <c r="D246" s="47"/>
      <c r="E246" s="47"/>
      <c r="F246" s="40"/>
    </row>
    <row r="247" spans="1:6" ht="21.95" customHeight="1">
      <c r="A247" s="20">
        <f t="shared" si="2"/>
        <v>245</v>
      </c>
      <c r="B247" s="129"/>
      <c r="C247" s="124"/>
      <c r="D247" s="47"/>
      <c r="E247" s="47"/>
      <c r="F247" s="40"/>
    </row>
    <row r="248" spans="1:6" ht="21.95" customHeight="1">
      <c r="A248" s="20">
        <f t="shared" si="2"/>
        <v>246</v>
      </c>
      <c r="B248" s="129"/>
      <c r="C248" s="124"/>
      <c r="D248" s="47"/>
      <c r="E248" s="47"/>
      <c r="F248" s="40"/>
    </row>
    <row r="249" spans="1:6" ht="21.95" customHeight="1">
      <c r="A249" s="20">
        <f t="shared" ref="A249:A312" si="3">A248 + 1</f>
        <v>247</v>
      </c>
      <c r="B249" s="129"/>
      <c r="C249" s="124"/>
      <c r="D249" s="47"/>
      <c r="E249" s="47"/>
      <c r="F249" s="40"/>
    </row>
    <row r="250" spans="1:6" ht="21.95" customHeight="1">
      <c r="A250" s="20">
        <f t="shared" si="3"/>
        <v>248</v>
      </c>
      <c r="B250" s="129"/>
      <c r="C250" s="124"/>
      <c r="D250" s="47"/>
      <c r="E250" s="47"/>
      <c r="F250" s="40"/>
    </row>
    <row r="251" spans="1:6" ht="21.95" customHeight="1">
      <c r="A251" s="20">
        <f t="shared" si="3"/>
        <v>249</v>
      </c>
      <c r="B251" s="129"/>
      <c r="C251" s="124"/>
      <c r="D251" s="47"/>
      <c r="E251" s="47"/>
      <c r="F251" s="40"/>
    </row>
    <row r="252" spans="1:6" ht="21.95" customHeight="1">
      <c r="A252" s="20">
        <f t="shared" si="3"/>
        <v>250</v>
      </c>
      <c r="B252" s="129"/>
      <c r="C252" s="124"/>
      <c r="D252" s="47"/>
      <c r="E252" s="47"/>
      <c r="F252" s="40"/>
    </row>
    <row r="253" spans="1:6" ht="21.95" customHeight="1">
      <c r="A253" s="20">
        <f t="shared" si="3"/>
        <v>251</v>
      </c>
      <c r="B253" s="129"/>
      <c r="C253" s="124"/>
      <c r="D253" s="47"/>
      <c r="E253" s="47"/>
      <c r="F253" s="40"/>
    </row>
    <row r="254" spans="1:6" ht="21.95" customHeight="1">
      <c r="A254" s="20">
        <f t="shared" si="3"/>
        <v>252</v>
      </c>
      <c r="B254" s="129"/>
      <c r="C254" s="124"/>
      <c r="D254" s="47"/>
      <c r="E254" s="47"/>
      <c r="F254" s="40"/>
    </row>
    <row r="255" spans="1:6" ht="21.95" customHeight="1">
      <c r="A255" s="20">
        <f t="shared" si="3"/>
        <v>253</v>
      </c>
      <c r="B255" s="129"/>
      <c r="C255" s="124"/>
      <c r="D255" s="47"/>
      <c r="E255" s="47"/>
      <c r="F255" s="40"/>
    </row>
    <row r="256" spans="1:6" ht="21.95" customHeight="1">
      <c r="A256" s="20">
        <f t="shared" si="3"/>
        <v>254</v>
      </c>
      <c r="B256" s="129"/>
      <c r="C256" s="124"/>
      <c r="D256" s="47"/>
      <c r="E256" s="47"/>
      <c r="F256" s="40"/>
    </row>
    <row r="257" spans="1:6" ht="21.95" customHeight="1">
      <c r="A257" s="20">
        <f t="shared" si="3"/>
        <v>255</v>
      </c>
      <c r="B257" s="129"/>
      <c r="C257" s="124"/>
      <c r="D257" s="47"/>
      <c r="E257" s="47"/>
      <c r="F257" s="40"/>
    </row>
    <row r="258" spans="1:6" ht="21.95" customHeight="1">
      <c r="A258" s="20">
        <f t="shared" si="3"/>
        <v>256</v>
      </c>
      <c r="B258" s="129"/>
      <c r="C258" s="124"/>
      <c r="D258" s="47"/>
      <c r="E258" s="47"/>
      <c r="F258" s="40"/>
    </row>
    <row r="259" spans="1:6" ht="21.95" customHeight="1">
      <c r="A259" s="20">
        <f t="shared" si="3"/>
        <v>257</v>
      </c>
      <c r="B259" s="129"/>
      <c r="C259" s="124"/>
      <c r="D259" s="47"/>
      <c r="E259" s="47"/>
      <c r="F259" s="40"/>
    </row>
    <row r="260" spans="1:6" ht="21.95" customHeight="1">
      <c r="A260" s="20">
        <f t="shared" si="3"/>
        <v>258</v>
      </c>
      <c r="B260" s="129"/>
      <c r="C260" s="124"/>
      <c r="D260" s="47"/>
      <c r="E260" s="47"/>
      <c r="F260" s="40"/>
    </row>
    <row r="261" spans="1:6" ht="21.95" customHeight="1">
      <c r="A261" s="20">
        <f t="shared" si="3"/>
        <v>259</v>
      </c>
      <c r="B261" s="129"/>
      <c r="C261" s="124"/>
      <c r="D261" s="47"/>
      <c r="E261" s="47"/>
      <c r="F261" s="40"/>
    </row>
    <row r="262" spans="1:6" ht="21.95" customHeight="1">
      <c r="A262" s="20">
        <f t="shared" si="3"/>
        <v>260</v>
      </c>
      <c r="B262" s="129"/>
      <c r="C262" s="124"/>
      <c r="D262" s="47"/>
      <c r="E262" s="47"/>
      <c r="F262" s="40"/>
    </row>
    <row r="263" spans="1:6" ht="21.95" customHeight="1">
      <c r="A263" s="20">
        <f t="shared" si="3"/>
        <v>261</v>
      </c>
      <c r="B263" s="129"/>
      <c r="C263" s="124"/>
      <c r="D263" s="47"/>
      <c r="E263" s="47"/>
      <c r="F263" s="40"/>
    </row>
    <row r="264" spans="1:6" ht="21.95" customHeight="1">
      <c r="A264" s="20">
        <f t="shared" si="3"/>
        <v>262</v>
      </c>
      <c r="B264" s="129"/>
      <c r="C264" s="124"/>
      <c r="D264" s="47"/>
      <c r="E264" s="47"/>
      <c r="F264" s="40"/>
    </row>
    <row r="265" spans="1:6" ht="21.95" customHeight="1">
      <c r="A265" s="20">
        <f t="shared" si="3"/>
        <v>263</v>
      </c>
      <c r="B265" s="129"/>
      <c r="C265" s="124"/>
      <c r="D265" s="47"/>
      <c r="E265" s="47"/>
      <c r="F265" s="40"/>
    </row>
    <row r="266" spans="1:6" ht="21.95" customHeight="1">
      <c r="A266" s="20">
        <f t="shared" si="3"/>
        <v>264</v>
      </c>
      <c r="B266" s="129"/>
      <c r="C266" s="124"/>
      <c r="D266" s="47"/>
      <c r="E266" s="47"/>
      <c r="F266" s="40"/>
    </row>
    <row r="267" spans="1:6" ht="21.95" customHeight="1">
      <c r="A267" s="20">
        <f t="shared" si="3"/>
        <v>265</v>
      </c>
      <c r="B267" s="129"/>
      <c r="C267" s="124"/>
      <c r="D267" s="47"/>
      <c r="E267" s="47"/>
      <c r="F267" s="40"/>
    </row>
    <row r="268" spans="1:6" ht="21.95" customHeight="1">
      <c r="A268" s="20">
        <f t="shared" si="3"/>
        <v>266</v>
      </c>
      <c r="B268" s="129"/>
      <c r="C268" s="124"/>
      <c r="D268" s="47"/>
      <c r="E268" s="47"/>
      <c r="F268" s="40"/>
    </row>
    <row r="269" spans="1:6" ht="21.95" customHeight="1">
      <c r="A269" s="20">
        <f t="shared" si="3"/>
        <v>267</v>
      </c>
      <c r="B269" s="129"/>
      <c r="C269" s="124"/>
      <c r="D269" s="47"/>
      <c r="E269" s="47"/>
      <c r="F269" s="40"/>
    </row>
    <row r="270" spans="1:6" ht="21.95" customHeight="1">
      <c r="A270" s="20">
        <f t="shared" si="3"/>
        <v>268</v>
      </c>
      <c r="B270" s="129"/>
      <c r="C270" s="124"/>
      <c r="D270" s="47"/>
      <c r="E270" s="47"/>
      <c r="F270" s="40"/>
    </row>
    <row r="271" spans="1:6" ht="21.95" customHeight="1">
      <c r="A271" s="20">
        <f t="shared" si="3"/>
        <v>269</v>
      </c>
      <c r="B271" s="129"/>
      <c r="C271" s="124"/>
      <c r="D271" s="47"/>
      <c r="E271" s="47"/>
      <c r="F271" s="40"/>
    </row>
    <row r="272" spans="1:6" ht="21.95" customHeight="1">
      <c r="A272" s="20">
        <f t="shared" si="3"/>
        <v>270</v>
      </c>
      <c r="B272" s="129"/>
      <c r="C272" s="124"/>
      <c r="D272" s="47"/>
      <c r="E272" s="47"/>
      <c r="F272" s="40"/>
    </row>
    <row r="273" spans="1:6" ht="21.95" customHeight="1">
      <c r="A273" s="20">
        <f t="shared" si="3"/>
        <v>271</v>
      </c>
      <c r="B273" s="129"/>
      <c r="C273" s="124"/>
      <c r="D273" s="47"/>
      <c r="E273" s="47"/>
      <c r="F273" s="40"/>
    </row>
    <row r="274" spans="1:6" ht="21.95" customHeight="1">
      <c r="A274" s="20">
        <f t="shared" si="3"/>
        <v>272</v>
      </c>
      <c r="B274" s="129"/>
      <c r="C274" s="124"/>
      <c r="D274" s="47"/>
      <c r="E274" s="47"/>
      <c r="F274" s="40"/>
    </row>
    <row r="275" spans="1:6" ht="21.95" customHeight="1">
      <c r="A275" s="20">
        <f t="shared" si="3"/>
        <v>273</v>
      </c>
      <c r="B275" s="129"/>
      <c r="C275" s="124"/>
      <c r="D275" s="47"/>
      <c r="E275" s="47"/>
      <c r="F275" s="40"/>
    </row>
    <row r="276" spans="1:6" ht="21.95" customHeight="1">
      <c r="A276" s="20">
        <f t="shared" si="3"/>
        <v>274</v>
      </c>
      <c r="B276" s="129"/>
      <c r="C276" s="124"/>
      <c r="D276" s="47"/>
      <c r="E276" s="47"/>
      <c r="F276" s="40"/>
    </row>
    <row r="277" spans="1:6" ht="21.95" customHeight="1">
      <c r="A277" s="20">
        <f t="shared" si="3"/>
        <v>275</v>
      </c>
      <c r="B277" s="129"/>
      <c r="C277" s="124"/>
      <c r="D277" s="47"/>
      <c r="E277" s="47"/>
      <c r="F277" s="40"/>
    </row>
    <row r="278" spans="1:6" ht="21.95" customHeight="1">
      <c r="A278" s="20">
        <f t="shared" si="3"/>
        <v>276</v>
      </c>
      <c r="B278" s="129"/>
      <c r="C278" s="124"/>
      <c r="D278" s="47"/>
      <c r="E278" s="47"/>
      <c r="F278" s="40"/>
    </row>
    <row r="279" spans="1:6" ht="21.95" customHeight="1">
      <c r="A279" s="20">
        <f t="shared" si="3"/>
        <v>277</v>
      </c>
      <c r="B279" s="129"/>
      <c r="C279" s="124"/>
      <c r="D279" s="47"/>
      <c r="E279" s="47"/>
      <c r="F279" s="40"/>
    </row>
    <row r="280" spans="1:6" ht="21.95" customHeight="1">
      <c r="A280" s="20">
        <f t="shared" si="3"/>
        <v>278</v>
      </c>
      <c r="B280" s="129"/>
      <c r="C280" s="124"/>
      <c r="D280" s="47"/>
      <c r="E280" s="47"/>
      <c r="F280" s="40"/>
    </row>
    <row r="281" spans="1:6" ht="21.95" customHeight="1">
      <c r="A281" s="20">
        <f t="shared" si="3"/>
        <v>279</v>
      </c>
      <c r="B281" s="129"/>
      <c r="C281" s="124"/>
      <c r="D281" s="47"/>
      <c r="E281" s="47"/>
      <c r="F281" s="40"/>
    </row>
    <row r="282" spans="1:6" ht="21.95" customHeight="1">
      <c r="A282" s="20">
        <f t="shared" si="3"/>
        <v>280</v>
      </c>
      <c r="B282" s="129"/>
      <c r="C282" s="124"/>
      <c r="D282" s="47"/>
      <c r="E282" s="47"/>
      <c r="F282" s="40"/>
    </row>
    <row r="283" spans="1:6" ht="21.95" customHeight="1">
      <c r="A283" s="20">
        <f t="shared" si="3"/>
        <v>281</v>
      </c>
      <c r="B283" s="129"/>
      <c r="C283" s="124"/>
      <c r="D283" s="47"/>
      <c r="E283" s="47"/>
      <c r="F283" s="40"/>
    </row>
    <row r="284" spans="1:6" ht="21.95" customHeight="1">
      <c r="A284" s="20">
        <f t="shared" si="3"/>
        <v>282</v>
      </c>
      <c r="B284" s="129"/>
      <c r="C284" s="124"/>
      <c r="D284" s="47"/>
      <c r="E284" s="47"/>
      <c r="F284" s="40"/>
    </row>
    <row r="285" spans="1:6" ht="21.95" customHeight="1">
      <c r="A285" s="20">
        <f t="shared" si="3"/>
        <v>283</v>
      </c>
      <c r="B285" s="129"/>
      <c r="C285" s="124"/>
      <c r="D285" s="47"/>
      <c r="E285" s="47"/>
      <c r="F285" s="40"/>
    </row>
    <row r="286" spans="1:6" ht="21.95" customHeight="1">
      <c r="A286" s="20">
        <f t="shared" si="3"/>
        <v>284</v>
      </c>
      <c r="B286" s="129"/>
      <c r="C286" s="124"/>
      <c r="D286" s="47"/>
      <c r="E286" s="47"/>
      <c r="F286" s="40"/>
    </row>
    <row r="287" spans="1:6" ht="21.95" customHeight="1">
      <c r="A287" s="20">
        <f t="shared" si="3"/>
        <v>285</v>
      </c>
      <c r="B287" s="129"/>
      <c r="C287" s="124"/>
      <c r="D287" s="47"/>
      <c r="E287" s="47"/>
      <c r="F287" s="40"/>
    </row>
    <row r="288" spans="1:6" ht="21.95" customHeight="1">
      <c r="A288" s="20">
        <f t="shared" si="3"/>
        <v>286</v>
      </c>
      <c r="B288" s="129"/>
      <c r="C288" s="124"/>
      <c r="D288" s="47"/>
      <c r="E288" s="47"/>
      <c r="F288" s="40"/>
    </row>
    <row r="289" spans="1:6" ht="21.95" customHeight="1">
      <c r="A289" s="20">
        <f t="shared" si="3"/>
        <v>287</v>
      </c>
      <c r="B289" s="129"/>
      <c r="C289" s="124"/>
      <c r="D289" s="47"/>
      <c r="E289" s="47"/>
      <c r="F289" s="40"/>
    </row>
    <row r="290" spans="1:6" ht="21.95" customHeight="1">
      <c r="A290" s="20">
        <f t="shared" si="3"/>
        <v>288</v>
      </c>
      <c r="B290" s="129"/>
      <c r="C290" s="124"/>
      <c r="D290" s="47"/>
      <c r="E290" s="47"/>
      <c r="F290" s="40"/>
    </row>
    <row r="291" spans="1:6" ht="21.95" customHeight="1">
      <c r="A291" s="20">
        <f t="shared" si="3"/>
        <v>289</v>
      </c>
      <c r="B291" s="129"/>
      <c r="C291" s="124"/>
      <c r="D291" s="47"/>
      <c r="E291" s="47"/>
      <c r="F291" s="40"/>
    </row>
    <row r="292" spans="1:6" ht="21.95" customHeight="1">
      <c r="A292" s="20">
        <f t="shared" si="3"/>
        <v>290</v>
      </c>
      <c r="B292" s="129"/>
      <c r="C292" s="124"/>
      <c r="D292" s="47"/>
      <c r="E292" s="47"/>
      <c r="F292" s="40"/>
    </row>
    <row r="293" spans="1:6" ht="21.95" customHeight="1">
      <c r="A293" s="20">
        <f t="shared" si="3"/>
        <v>291</v>
      </c>
      <c r="B293" s="129"/>
      <c r="C293" s="124"/>
      <c r="D293" s="47"/>
      <c r="E293" s="47"/>
      <c r="F293" s="40"/>
    </row>
    <row r="294" spans="1:6" ht="21.95" customHeight="1">
      <c r="A294" s="20">
        <f t="shared" si="3"/>
        <v>292</v>
      </c>
      <c r="B294" s="129"/>
      <c r="C294" s="124"/>
      <c r="D294" s="47"/>
      <c r="E294" s="47"/>
      <c r="F294" s="40"/>
    </row>
    <row r="295" spans="1:6" ht="21.95" customHeight="1">
      <c r="A295" s="20">
        <f t="shared" si="3"/>
        <v>293</v>
      </c>
      <c r="B295" s="129"/>
      <c r="C295" s="124"/>
      <c r="D295" s="47"/>
      <c r="E295" s="47"/>
      <c r="F295" s="40"/>
    </row>
    <row r="296" spans="1:6" ht="21.95" customHeight="1">
      <c r="A296" s="20">
        <f t="shared" si="3"/>
        <v>294</v>
      </c>
      <c r="B296" s="129"/>
      <c r="C296" s="124"/>
      <c r="D296" s="47"/>
      <c r="E296" s="47"/>
      <c r="F296" s="40"/>
    </row>
    <row r="297" spans="1:6" ht="21.95" customHeight="1">
      <c r="A297" s="20">
        <f t="shared" si="3"/>
        <v>295</v>
      </c>
      <c r="B297" s="129"/>
      <c r="C297" s="124"/>
      <c r="D297" s="47"/>
      <c r="E297" s="47"/>
      <c r="F297" s="40"/>
    </row>
    <row r="298" spans="1:6" ht="21.95" customHeight="1">
      <c r="A298" s="20">
        <f t="shared" si="3"/>
        <v>296</v>
      </c>
      <c r="B298" s="129"/>
      <c r="C298" s="124"/>
      <c r="D298" s="47"/>
      <c r="E298" s="47"/>
      <c r="F298" s="40"/>
    </row>
    <row r="299" spans="1:6" ht="21.95" customHeight="1">
      <c r="A299" s="20">
        <f t="shared" si="3"/>
        <v>297</v>
      </c>
      <c r="B299" s="129"/>
      <c r="C299" s="124"/>
      <c r="D299" s="47"/>
      <c r="E299" s="47"/>
      <c r="F299" s="40"/>
    </row>
    <row r="300" spans="1:6" ht="21.95" customHeight="1">
      <c r="A300" s="20">
        <f t="shared" si="3"/>
        <v>298</v>
      </c>
      <c r="B300" s="129"/>
      <c r="C300" s="124"/>
      <c r="D300" s="47"/>
      <c r="E300" s="47"/>
      <c r="F300" s="40"/>
    </row>
    <row r="301" spans="1:6" ht="21.95" customHeight="1">
      <c r="A301" s="20">
        <f t="shared" si="3"/>
        <v>299</v>
      </c>
      <c r="B301" s="129"/>
      <c r="C301" s="124"/>
      <c r="D301" s="47"/>
      <c r="E301" s="47"/>
      <c r="F301" s="40"/>
    </row>
    <row r="302" spans="1:6" ht="21.95" customHeight="1">
      <c r="A302" s="20">
        <f t="shared" si="3"/>
        <v>300</v>
      </c>
      <c r="B302" s="129"/>
      <c r="C302" s="124"/>
      <c r="D302" s="47"/>
      <c r="E302" s="47"/>
      <c r="F302" s="40"/>
    </row>
    <row r="303" spans="1:6" ht="21.95" customHeight="1">
      <c r="A303" s="20">
        <f t="shared" si="3"/>
        <v>301</v>
      </c>
      <c r="B303" s="129"/>
      <c r="C303" s="124"/>
      <c r="D303" s="47"/>
      <c r="E303" s="47"/>
      <c r="F303" s="40"/>
    </row>
    <row r="304" spans="1:6" ht="21.95" customHeight="1">
      <c r="A304" s="20">
        <f t="shared" si="3"/>
        <v>302</v>
      </c>
      <c r="B304" s="129"/>
      <c r="C304" s="124"/>
      <c r="D304" s="47"/>
      <c r="E304" s="47"/>
      <c r="F304" s="40"/>
    </row>
    <row r="305" spans="1:6" ht="21.95" customHeight="1">
      <c r="A305" s="20">
        <f t="shared" si="3"/>
        <v>303</v>
      </c>
      <c r="B305" s="129"/>
      <c r="C305" s="124"/>
      <c r="D305" s="47"/>
      <c r="E305" s="47"/>
      <c r="F305" s="40"/>
    </row>
    <row r="306" spans="1:6" ht="21.95" customHeight="1">
      <c r="A306" s="20">
        <f t="shared" si="3"/>
        <v>304</v>
      </c>
      <c r="B306" s="129"/>
      <c r="C306" s="124"/>
      <c r="D306" s="47"/>
      <c r="E306" s="47"/>
      <c r="F306" s="40"/>
    </row>
    <row r="307" spans="1:6" ht="21.95" customHeight="1">
      <c r="A307" s="20">
        <f t="shared" si="3"/>
        <v>305</v>
      </c>
      <c r="B307" s="129"/>
      <c r="C307" s="124"/>
      <c r="D307" s="47"/>
      <c r="E307" s="47"/>
      <c r="F307" s="40"/>
    </row>
    <row r="308" spans="1:6" ht="21.95" customHeight="1">
      <c r="A308" s="20">
        <f t="shared" si="3"/>
        <v>306</v>
      </c>
      <c r="B308" s="129"/>
      <c r="C308" s="124"/>
      <c r="D308" s="47"/>
      <c r="E308" s="47"/>
      <c r="F308" s="40"/>
    </row>
    <row r="309" spans="1:6" ht="21.95" customHeight="1">
      <c r="A309" s="20">
        <f t="shared" si="3"/>
        <v>307</v>
      </c>
      <c r="B309" s="129"/>
      <c r="C309" s="124"/>
      <c r="D309" s="47"/>
      <c r="E309" s="47"/>
      <c r="F309" s="40"/>
    </row>
    <row r="310" spans="1:6" ht="21.95" customHeight="1">
      <c r="A310" s="20">
        <f t="shared" si="3"/>
        <v>308</v>
      </c>
      <c r="B310" s="129"/>
      <c r="C310" s="124"/>
      <c r="D310" s="47"/>
      <c r="E310" s="47"/>
      <c r="F310" s="40"/>
    </row>
    <row r="311" spans="1:6" ht="21.95" customHeight="1">
      <c r="A311" s="20">
        <f t="shared" si="3"/>
        <v>309</v>
      </c>
      <c r="B311" s="129"/>
      <c r="C311" s="124"/>
      <c r="D311" s="47"/>
      <c r="E311" s="47"/>
      <c r="F311" s="40"/>
    </row>
    <row r="312" spans="1:6" ht="21.95" customHeight="1">
      <c r="A312" s="20">
        <f t="shared" si="3"/>
        <v>310</v>
      </c>
      <c r="B312" s="129"/>
      <c r="C312" s="124"/>
      <c r="D312" s="47"/>
      <c r="E312" s="47"/>
      <c r="F312" s="40"/>
    </row>
    <row r="313" spans="1:6" ht="21.95" customHeight="1">
      <c r="A313" s="20">
        <f t="shared" ref="A313:A376" si="4">A312 + 1</f>
        <v>311</v>
      </c>
      <c r="B313" s="129"/>
      <c r="C313" s="124"/>
      <c r="D313" s="47"/>
      <c r="E313" s="47"/>
      <c r="F313" s="40"/>
    </row>
    <row r="314" spans="1:6" ht="21.95" customHeight="1">
      <c r="A314" s="20">
        <f t="shared" si="4"/>
        <v>312</v>
      </c>
      <c r="B314" s="129"/>
      <c r="C314" s="124"/>
      <c r="D314" s="47"/>
      <c r="E314" s="47"/>
      <c r="F314" s="40"/>
    </row>
    <row r="315" spans="1:6" ht="21.95" customHeight="1">
      <c r="A315" s="20">
        <f t="shared" si="4"/>
        <v>313</v>
      </c>
      <c r="B315" s="129"/>
      <c r="C315" s="124"/>
      <c r="D315" s="47"/>
      <c r="E315" s="47"/>
      <c r="F315" s="40"/>
    </row>
    <row r="316" spans="1:6" ht="21.95" customHeight="1">
      <c r="A316" s="20">
        <f t="shared" si="4"/>
        <v>314</v>
      </c>
      <c r="B316" s="129"/>
      <c r="C316" s="124"/>
      <c r="D316" s="47"/>
      <c r="E316" s="47"/>
      <c r="F316" s="40"/>
    </row>
    <row r="317" spans="1:6" ht="21.95" customHeight="1">
      <c r="A317" s="20">
        <f t="shared" si="4"/>
        <v>315</v>
      </c>
      <c r="B317" s="129"/>
      <c r="C317" s="124"/>
      <c r="D317" s="47"/>
      <c r="E317" s="47"/>
      <c r="F317" s="40"/>
    </row>
    <row r="318" spans="1:6" ht="21.95" customHeight="1">
      <c r="A318" s="20">
        <f t="shared" si="4"/>
        <v>316</v>
      </c>
      <c r="B318" s="129"/>
      <c r="C318" s="124"/>
      <c r="D318" s="47"/>
      <c r="E318" s="47"/>
      <c r="F318" s="40"/>
    </row>
    <row r="319" spans="1:6" ht="21.95" customHeight="1">
      <c r="A319" s="20">
        <f t="shared" si="4"/>
        <v>317</v>
      </c>
      <c r="B319" s="129"/>
      <c r="C319" s="124"/>
      <c r="D319" s="47"/>
      <c r="E319" s="47"/>
      <c r="F319" s="40"/>
    </row>
    <row r="320" spans="1:6" ht="21.95" customHeight="1">
      <c r="A320" s="20">
        <f t="shared" si="4"/>
        <v>318</v>
      </c>
      <c r="B320" s="129"/>
      <c r="C320" s="124"/>
      <c r="D320" s="47"/>
      <c r="E320" s="47"/>
      <c r="F320" s="40"/>
    </row>
    <row r="321" spans="1:6" ht="21.95" customHeight="1">
      <c r="A321" s="20">
        <f t="shared" si="4"/>
        <v>319</v>
      </c>
      <c r="B321" s="129"/>
      <c r="C321" s="124"/>
      <c r="D321" s="47"/>
      <c r="E321" s="47"/>
      <c r="F321" s="40"/>
    </row>
    <row r="322" spans="1:6" ht="21.95" customHeight="1">
      <c r="A322" s="20">
        <f t="shared" si="4"/>
        <v>320</v>
      </c>
      <c r="B322" s="129"/>
      <c r="C322" s="124"/>
      <c r="D322" s="47"/>
      <c r="E322" s="47"/>
      <c r="F322" s="40"/>
    </row>
    <row r="323" spans="1:6" ht="21.95" customHeight="1">
      <c r="A323" s="20">
        <f t="shared" si="4"/>
        <v>321</v>
      </c>
      <c r="B323" s="129"/>
      <c r="C323" s="124"/>
      <c r="D323" s="47"/>
      <c r="E323" s="47"/>
      <c r="F323" s="40"/>
    </row>
    <row r="324" spans="1:6" ht="21.95" customHeight="1">
      <c r="A324" s="20">
        <f t="shared" si="4"/>
        <v>322</v>
      </c>
      <c r="B324" s="129"/>
      <c r="C324" s="124"/>
      <c r="D324" s="47"/>
      <c r="E324" s="47"/>
      <c r="F324" s="40"/>
    </row>
    <row r="325" spans="1:6" ht="21.95" customHeight="1">
      <c r="A325" s="20">
        <f t="shared" si="4"/>
        <v>323</v>
      </c>
      <c r="B325" s="129"/>
      <c r="C325" s="124"/>
      <c r="D325" s="47"/>
      <c r="E325" s="47"/>
      <c r="F325" s="40"/>
    </row>
    <row r="326" spans="1:6" ht="21.95" customHeight="1">
      <c r="A326" s="20">
        <f t="shared" si="4"/>
        <v>324</v>
      </c>
      <c r="B326" s="129"/>
      <c r="C326" s="124"/>
      <c r="D326" s="47"/>
      <c r="E326" s="47"/>
      <c r="F326" s="40"/>
    </row>
    <row r="327" spans="1:6" ht="21.95" customHeight="1">
      <c r="A327" s="20">
        <f t="shared" si="4"/>
        <v>325</v>
      </c>
      <c r="B327" s="129"/>
      <c r="C327" s="124"/>
      <c r="D327" s="47"/>
      <c r="E327" s="47"/>
      <c r="F327" s="40"/>
    </row>
    <row r="328" spans="1:6" ht="21.95" customHeight="1">
      <c r="A328" s="20">
        <f t="shared" si="4"/>
        <v>326</v>
      </c>
      <c r="B328" s="129"/>
      <c r="C328" s="124"/>
      <c r="D328" s="47"/>
      <c r="E328" s="47"/>
      <c r="F328" s="40"/>
    </row>
    <row r="329" spans="1:6" ht="21.95" customHeight="1">
      <c r="A329" s="20">
        <f t="shared" si="4"/>
        <v>327</v>
      </c>
      <c r="B329" s="129"/>
      <c r="C329" s="124"/>
      <c r="D329" s="47"/>
      <c r="E329" s="47"/>
      <c r="F329" s="40"/>
    </row>
    <row r="330" spans="1:6" ht="21.95" customHeight="1">
      <c r="A330" s="20">
        <f t="shared" si="4"/>
        <v>328</v>
      </c>
      <c r="B330" s="129"/>
      <c r="C330" s="124"/>
      <c r="D330" s="47"/>
      <c r="E330" s="47"/>
      <c r="F330" s="40"/>
    </row>
    <row r="331" spans="1:6" ht="21.95" customHeight="1">
      <c r="A331" s="20">
        <f t="shared" si="4"/>
        <v>329</v>
      </c>
      <c r="B331" s="129"/>
      <c r="C331" s="124"/>
      <c r="D331" s="47"/>
      <c r="E331" s="47"/>
      <c r="F331" s="40"/>
    </row>
    <row r="332" spans="1:6" ht="21.95" customHeight="1">
      <c r="A332" s="20">
        <f t="shared" si="4"/>
        <v>330</v>
      </c>
      <c r="B332" s="129"/>
      <c r="C332" s="124"/>
      <c r="D332" s="47"/>
      <c r="E332" s="47"/>
      <c r="F332" s="40"/>
    </row>
    <row r="333" spans="1:6" ht="21.95" customHeight="1">
      <c r="A333" s="20">
        <f t="shared" si="4"/>
        <v>331</v>
      </c>
      <c r="B333" s="129"/>
      <c r="C333" s="124"/>
      <c r="D333" s="47"/>
      <c r="E333" s="47"/>
      <c r="F333" s="40"/>
    </row>
    <row r="334" spans="1:6" ht="21.95" customHeight="1">
      <c r="A334" s="20">
        <f t="shared" si="4"/>
        <v>332</v>
      </c>
      <c r="B334" s="129"/>
      <c r="C334" s="124"/>
      <c r="D334" s="47"/>
      <c r="E334" s="47"/>
      <c r="F334" s="40"/>
    </row>
    <row r="335" spans="1:6" ht="21.95" customHeight="1">
      <c r="A335" s="20">
        <f t="shared" si="4"/>
        <v>333</v>
      </c>
      <c r="B335" s="129"/>
      <c r="C335" s="124"/>
      <c r="D335" s="47"/>
      <c r="E335" s="47"/>
      <c r="F335" s="40"/>
    </row>
    <row r="336" spans="1:6" ht="21.95" customHeight="1">
      <c r="A336" s="20">
        <f t="shared" si="4"/>
        <v>334</v>
      </c>
      <c r="B336" s="129"/>
      <c r="C336" s="124"/>
      <c r="D336" s="47"/>
      <c r="E336" s="47"/>
      <c r="F336" s="40"/>
    </row>
    <row r="337" spans="1:6" ht="21.95" customHeight="1">
      <c r="A337" s="20">
        <f t="shared" si="4"/>
        <v>335</v>
      </c>
      <c r="B337" s="129"/>
      <c r="C337" s="124"/>
      <c r="D337" s="47"/>
      <c r="E337" s="47"/>
      <c r="F337" s="40"/>
    </row>
    <row r="338" spans="1:6" ht="21.95" customHeight="1">
      <c r="A338" s="20">
        <f t="shared" si="4"/>
        <v>336</v>
      </c>
      <c r="B338" s="129"/>
      <c r="C338" s="124"/>
      <c r="D338" s="47"/>
      <c r="E338" s="47"/>
      <c r="F338" s="47"/>
    </row>
    <row r="339" spans="1:6" ht="21.95" customHeight="1">
      <c r="A339" s="20">
        <f t="shared" si="4"/>
        <v>337</v>
      </c>
      <c r="B339" s="129"/>
      <c r="C339" s="124"/>
      <c r="D339" s="47"/>
      <c r="E339" s="47"/>
      <c r="F339" s="47"/>
    </row>
    <row r="340" spans="1:6" ht="21.95" customHeight="1">
      <c r="A340" s="20">
        <f t="shared" si="4"/>
        <v>338</v>
      </c>
      <c r="B340" s="129"/>
      <c r="C340" s="124"/>
      <c r="D340" s="47"/>
      <c r="E340" s="47"/>
      <c r="F340" s="47"/>
    </row>
    <row r="341" spans="1:6" ht="21.95" customHeight="1">
      <c r="A341" s="20">
        <f t="shared" si="4"/>
        <v>339</v>
      </c>
      <c r="B341" s="129"/>
      <c r="C341" s="124"/>
      <c r="D341" s="47"/>
      <c r="E341" s="47"/>
      <c r="F341" s="47"/>
    </row>
    <row r="342" spans="1:6" ht="21.95" customHeight="1">
      <c r="A342" s="20">
        <f t="shared" si="4"/>
        <v>340</v>
      </c>
      <c r="B342" s="129"/>
      <c r="C342" s="124"/>
      <c r="D342" s="47"/>
      <c r="E342" s="47"/>
      <c r="F342" s="47"/>
    </row>
    <row r="343" spans="1:6" ht="21.95" customHeight="1">
      <c r="A343" s="20">
        <f t="shared" si="4"/>
        <v>341</v>
      </c>
      <c r="B343" s="129"/>
      <c r="C343" s="129"/>
      <c r="D343" s="47"/>
      <c r="E343" s="47"/>
      <c r="F343" s="47"/>
    </row>
    <row r="344" spans="1:6" ht="21.95" customHeight="1">
      <c r="A344" s="20">
        <f t="shared" si="4"/>
        <v>342</v>
      </c>
      <c r="B344" s="129"/>
      <c r="C344" s="129"/>
      <c r="D344" s="47"/>
      <c r="E344" s="47"/>
      <c r="F344" s="47"/>
    </row>
    <row r="345" spans="1:6" ht="21.95" customHeight="1">
      <c r="A345" s="20">
        <f t="shared" si="4"/>
        <v>343</v>
      </c>
      <c r="B345" s="129"/>
      <c r="C345" s="129"/>
      <c r="D345" s="47"/>
      <c r="E345" s="47"/>
      <c r="F345" s="47"/>
    </row>
    <row r="346" spans="1:6" ht="21.95" customHeight="1">
      <c r="A346" s="20">
        <f t="shared" si="4"/>
        <v>344</v>
      </c>
      <c r="B346" s="129"/>
      <c r="C346" s="129"/>
      <c r="D346" s="47"/>
      <c r="E346" s="47"/>
      <c r="F346" s="47"/>
    </row>
    <row r="347" spans="1:6" ht="21.95" customHeight="1">
      <c r="A347" s="20">
        <f t="shared" si="4"/>
        <v>345</v>
      </c>
      <c r="B347" s="129"/>
      <c r="C347" s="129"/>
      <c r="D347" s="47"/>
      <c r="E347" s="47"/>
      <c r="F347" s="47"/>
    </row>
    <row r="348" spans="1:6" ht="21.95" customHeight="1">
      <c r="A348" s="20">
        <f t="shared" si="4"/>
        <v>346</v>
      </c>
      <c r="B348" s="129"/>
      <c r="C348" s="129"/>
      <c r="D348" s="47"/>
      <c r="E348" s="47"/>
      <c r="F348" s="47"/>
    </row>
    <row r="349" spans="1:6" ht="21.95" customHeight="1">
      <c r="A349" s="20">
        <f t="shared" si="4"/>
        <v>347</v>
      </c>
      <c r="B349" s="129"/>
      <c r="C349" s="129"/>
      <c r="D349" s="47"/>
      <c r="E349" s="47"/>
      <c r="F349" s="47"/>
    </row>
    <row r="350" spans="1:6" ht="21.95" customHeight="1">
      <c r="A350" s="20">
        <f t="shared" si="4"/>
        <v>348</v>
      </c>
      <c r="B350" s="129"/>
      <c r="C350" s="129"/>
      <c r="D350" s="47"/>
      <c r="E350" s="47"/>
      <c r="F350" s="47"/>
    </row>
    <row r="351" spans="1:6" ht="21.95" customHeight="1">
      <c r="A351" s="20">
        <f t="shared" si="4"/>
        <v>349</v>
      </c>
      <c r="B351" s="129"/>
      <c r="C351" s="129"/>
      <c r="D351" s="47"/>
      <c r="E351" s="47"/>
      <c r="F351" s="47"/>
    </row>
    <row r="352" spans="1:6" ht="21.95" customHeight="1">
      <c r="A352" s="20">
        <f t="shared" si="4"/>
        <v>350</v>
      </c>
      <c r="B352" s="129"/>
      <c r="C352" s="129"/>
      <c r="D352" s="47"/>
      <c r="E352" s="47"/>
      <c r="F352" s="47"/>
    </row>
    <row r="353" spans="1:6" ht="21.95" customHeight="1">
      <c r="A353" s="20">
        <f t="shared" si="4"/>
        <v>351</v>
      </c>
      <c r="B353" s="129"/>
      <c r="C353" s="129"/>
      <c r="D353" s="47"/>
      <c r="E353" s="47"/>
      <c r="F353" s="47"/>
    </row>
    <row r="354" spans="1:6" ht="21.95" customHeight="1">
      <c r="A354" s="20">
        <f t="shared" si="4"/>
        <v>352</v>
      </c>
      <c r="B354" s="129"/>
      <c r="C354" s="129"/>
      <c r="D354" s="47"/>
      <c r="E354" s="47"/>
      <c r="F354" s="47"/>
    </row>
    <row r="355" spans="1:6" ht="21.95" customHeight="1">
      <c r="A355" s="20">
        <f t="shared" si="4"/>
        <v>353</v>
      </c>
      <c r="B355" s="129"/>
      <c r="C355" s="129"/>
      <c r="D355" s="47"/>
      <c r="E355" s="47"/>
      <c r="F355" s="47"/>
    </row>
    <row r="356" spans="1:6" ht="21.95" customHeight="1">
      <c r="A356" s="20">
        <f t="shared" si="4"/>
        <v>354</v>
      </c>
      <c r="B356" s="129"/>
      <c r="C356" s="129"/>
      <c r="D356" s="47"/>
      <c r="E356" s="47"/>
      <c r="F356" s="47"/>
    </row>
    <row r="357" spans="1:6" ht="21.95" customHeight="1">
      <c r="A357" s="20">
        <f t="shared" si="4"/>
        <v>355</v>
      </c>
      <c r="B357" s="129"/>
      <c r="C357" s="129"/>
      <c r="D357" s="47"/>
      <c r="E357" s="47"/>
      <c r="F357" s="47"/>
    </row>
    <row r="358" spans="1:6" ht="21.95" customHeight="1">
      <c r="A358" s="20">
        <f t="shared" si="4"/>
        <v>356</v>
      </c>
      <c r="B358" s="129"/>
      <c r="C358" s="129"/>
      <c r="D358" s="47"/>
      <c r="E358" s="47"/>
      <c r="F358" s="47"/>
    </row>
    <row r="359" spans="1:6" ht="21.95" customHeight="1">
      <c r="A359" s="20">
        <f t="shared" si="4"/>
        <v>357</v>
      </c>
      <c r="B359" s="129"/>
      <c r="C359" s="129"/>
      <c r="D359" s="47"/>
      <c r="E359" s="47"/>
      <c r="F359" s="47"/>
    </row>
    <row r="360" spans="1:6" ht="21.95" customHeight="1">
      <c r="A360" s="20">
        <f t="shared" si="4"/>
        <v>358</v>
      </c>
      <c r="B360" s="129"/>
      <c r="C360" s="129"/>
      <c r="D360" s="47"/>
      <c r="E360" s="47"/>
      <c r="F360" s="47"/>
    </row>
    <row r="361" spans="1:6" ht="21.95" customHeight="1">
      <c r="A361" s="20">
        <f t="shared" si="4"/>
        <v>359</v>
      </c>
      <c r="B361" s="129"/>
      <c r="C361" s="129"/>
      <c r="D361" s="47"/>
      <c r="E361" s="47"/>
      <c r="F361" s="47"/>
    </row>
    <row r="362" spans="1:6" ht="21.95" customHeight="1">
      <c r="A362" s="20">
        <f t="shared" si="4"/>
        <v>360</v>
      </c>
      <c r="B362" s="129"/>
      <c r="C362" s="129"/>
      <c r="D362" s="47"/>
      <c r="E362" s="47"/>
      <c r="F362" s="47"/>
    </row>
    <row r="363" spans="1:6" ht="21.95" customHeight="1">
      <c r="A363" s="20">
        <f t="shared" si="4"/>
        <v>361</v>
      </c>
      <c r="B363" s="129"/>
      <c r="C363" s="129"/>
      <c r="D363" s="47"/>
      <c r="E363" s="47"/>
      <c r="F363" s="47"/>
    </row>
    <row r="364" spans="1:6" ht="21.95" customHeight="1">
      <c r="A364" s="20">
        <f t="shared" si="4"/>
        <v>362</v>
      </c>
      <c r="B364" s="129"/>
      <c r="C364" s="129"/>
      <c r="D364" s="47"/>
      <c r="E364" s="47"/>
      <c r="F364" s="47"/>
    </row>
    <row r="365" spans="1:6" ht="21.95" customHeight="1">
      <c r="A365" s="20">
        <f t="shared" si="4"/>
        <v>363</v>
      </c>
      <c r="B365" s="129"/>
      <c r="C365" s="129"/>
      <c r="D365" s="47"/>
      <c r="E365" s="47"/>
      <c r="F365" s="47"/>
    </row>
    <row r="366" spans="1:6" ht="21.95" customHeight="1">
      <c r="A366" s="20">
        <f t="shared" si="4"/>
        <v>364</v>
      </c>
      <c r="B366" s="129"/>
      <c r="C366" s="129"/>
      <c r="D366" s="47"/>
      <c r="E366" s="47"/>
      <c r="F366" s="47"/>
    </row>
    <row r="367" spans="1:6" ht="21.95" customHeight="1">
      <c r="A367" s="20">
        <f t="shared" si="4"/>
        <v>365</v>
      </c>
      <c r="B367" s="129"/>
      <c r="C367" s="129"/>
      <c r="D367" s="47"/>
      <c r="E367" s="47"/>
      <c r="F367" s="47"/>
    </row>
    <row r="368" spans="1:6" ht="21.95" customHeight="1">
      <c r="A368" s="20">
        <f t="shared" si="4"/>
        <v>366</v>
      </c>
      <c r="B368" s="129"/>
      <c r="C368" s="129"/>
      <c r="D368" s="47"/>
      <c r="E368" s="47"/>
      <c r="F368" s="47"/>
    </row>
    <row r="369" spans="1:6" ht="21.95" customHeight="1">
      <c r="A369" s="20">
        <f t="shared" si="4"/>
        <v>367</v>
      </c>
      <c r="B369" s="129"/>
      <c r="C369" s="129"/>
      <c r="D369" s="47"/>
      <c r="E369" s="47"/>
      <c r="F369" s="47"/>
    </row>
    <row r="370" spans="1:6" ht="21.95" customHeight="1">
      <c r="A370" s="20">
        <f t="shared" si="4"/>
        <v>368</v>
      </c>
      <c r="B370" s="129"/>
      <c r="C370" s="129"/>
      <c r="D370" s="47"/>
      <c r="E370" s="47"/>
      <c r="F370" s="47"/>
    </row>
    <row r="371" spans="1:6" ht="21.95" customHeight="1">
      <c r="A371" s="20">
        <f t="shared" si="4"/>
        <v>369</v>
      </c>
      <c r="B371" s="129"/>
      <c r="C371" s="129"/>
      <c r="D371" s="47"/>
      <c r="E371" s="47"/>
      <c r="F371" s="47"/>
    </row>
    <row r="372" spans="1:6" ht="21.95" customHeight="1">
      <c r="A372" s="20">
        <f t="shared" si="4"/>
        <v>370</v>
      </c>
      <c r="B372" s="129"/>
      <c r="C372" s="129"/>
      <c r="D372" s="47"/>
      <c r="E372" s="47"/>
      <c r="F372" s="47"/>
    </row>
    <row r="373" spans="1:6" ht="21.95" customHeight="1">
      <c r="A373" s="20">
        <f t="shared" si="4"/>
        <v>371</v>
      </c>
      <c r="B373" s="129"/>
      <c r="C373" s="129"/>
      <c r="D373" s="47"/>
      <c r="E373" s="47"/>
      <c r="F373" s="47"/>
    </row>
    <row r="374" spans="1:6" ht="21.95" customHeight="1">
      <c r="A374" s="20">
        <f t="shared" si="4"/>
        <v>372</v>
      </c>
      <c r="B374" s="129"/>
      <c r="C374" s="129"/>
      <c r="D374" s="47"/>
      <c r="E374" s="47"/>
      <c r="F374" s="47"/>
    </row>
    <row r="375" spans="1:6" ht="21.95" customHeight="1">
      <c r="A375" s="20">
        <f t="shared" si="4"/>
        <v>373</v>
      </c>
      <c r="B375" s="129"/>
      <c r="C375" s="129"/>
      <c r="D375" s="47"/>
      <c r="E375" s="47"/>
      <c r="F375" s="47"/>
    </row>
    <row r="376" spans="1:6" ht="21.95" customHeight="1">
      <c r="A376" s="20">
        <f t="shared" si="4"/>
        <v>374</v>
      </c>
      <c r="B376" s="129"/>
      <c r="C376" s="129"/>
      <c r="D376" s="47"/>
      <c r="E376" s="47"/>
      <c r="F376" s="47"/>
    </row>
    <row r="377" spans="1:6" ht="21.95" customHeight="1">
      <c r="A377" s="20">
        <f t="shared" ref="A377:A402" si="5">A376 + 1</f>
        <v>375</v>
      </c>
      <c r="B377" s="129"/>
      <c r="C377" s="129"/>
      <c r="D377" s="47"/>
      <c r="E377" s="47"/>
      <c r="F377" s="47"/>
    </row>
    <row r="378" spans="1:6" ht="21.95" customHeight="1">
      <c r="A378" s="20">
        <f t="shared" si="5"/>
        <v>376</v>
      </c>
      <c r="B378" s="129"/>
      <c r="C378" s="129"/>
      <c r="D378" s="47"/>
      <c r="E378" s="47"/>
      <c r="F378" s="47"/>
    </row>
    <row r="379" spans="1:6" ht="21.95" customHeight="1">
      <c r="A379" s="20">
        <f t="shared" si="5"/>
        <v>377</v>
      </c>
      <c r="B379" s="129"/>
      <c r="C379" s="129"/>
      <c r="D379" s="47"/>
      <c r="E379" s="47"/>
      <c r="F379" s="47"/>
    </row>
    <row r="380" spans="1:6" ht="21.95" customHeight="1">
      <c r="A380" s="20">
        <f t="shared" si="5"/>
        <v>378</v>
      </c>
      <c r="B380" s="129"/>
      <c r="C380" s="129"/>
      <c r="D380" s="47"/>
      <c r="E380" s="47"/>
      <c r="F380" s="47"/>
    </row>
    <row r="381" spans="1:6" ht="21.95" customHeight="1">
      <c r="A381" s="20">
        <f t="shared" si="5"/>
        <v>379</v>
      </c>
      <c r="B381" s="129"/>
      <c r="C381" s="129"/>
      <c r="D381" s="47"/>
      <c r="E381" s="47"/>
      <c r="F381" s="47"/>
    </row>
    <row r="382" spans="1:6" ht="21.95" customHeight="1">
      <c r="A382" s="20">
        <f t="shared" si="5"/>
        <v>380</v>
      </c>
      <c r="B382" s="129"/>
      <c r="C382" s="129"/>
      <c r="D382" s="47"/>
      <c r="E382" s="47"/>
      <c r="F382" s="47"/>
    </row>
    <row r="383" spans="1:6" ht="21.95" customHeight="1">
      <c r="A383" s="20">
        <f t="shared" si="5"/>
        <v>381</v>
      </c>
      <c r="B383" s="129"/>
      <c r="C383" s="129"/>
      <c r="D383" s="47"/>
      <c r="E383" s="47"/>
      <c r="F383" s="47"/>
    </row>
    <row r="384" spans="1:6" ht="21.95" customHeight="1">
      <c r="A384" s="20">
        <f t="shared" si="5"/>
        <v>382</v>
      </c>
      <c r="B384" s="129"/>
      <c r="C384" s="129"/>
      <c r="D384" s="47"/>
      <c r="E384" s="47"/>
      <c r="F384" s="47"/>
    </row>
    <row r="385" spans="1:6" ht="21.95" customHeight="1">
      <c r="A385" s="20">
        <f t="shared" si="5"/>
        <v>383</v>
      </c>
      <c r="B385" s="129"/>
      <c r="C385" s="129"/>
      <c r="D385" s="47"/>
      <c r="E385" s="47"/>
      <c r="F385" s="47"/>
    </row>
    <row r="386" spans="1:6" ht="21.95" customHeight="1">
      <c r="A386" s="20">
        <f t="shared" si="5"/>
        <v>384</v>
      </c>
      <c r="B386" s="129"/>
      <c r="C386" s="129"/>
      <c r="D386" s="47"/>
      <c r="E386" s="47"/>
      <c r="F386" s="47"/>
    </row>
    <row r="387" spans="1:6" ht="21.95" customHeight="1">
      <c r="A387" s="20">
        <f t="shared" si="5"/>
        <v>385</v>
      </c>
      <c r="B387" s="129"/>
      <c r="C387" s="129"/>
      <c r="D387" s="47"/>
      <c r="E387" s="47"/>
      <c r="F387" s="47"/>
    </row>
    <row r="388" spans="1:6" ht="21.95" customHeight="1">
      <c r="A388" s="20">
        <f t="shared" si="5"/>
        <v>386</v>
      </c>
      <c r="B388" s="129"/>
      <c r="C388" s="129"/>
      <c r="D388" s="47"/>
      <c r="E388" s="47"/>
      <c r="F388" s="47"/>
    </row>
    <row r="389" spans="1:6" ht="21.95" customHeight="1">
      <c r="A389" s="20">
        <f t="shared" si="5"/>
        <v>387</v>
      </c>
      <c r="B389" s="129"/>
      <c r="C389" s="129"/>
      <c r="D389" s="47"/>
      <c r="E389" s="47"/>
      <c r="F389" s="47"/>
    </row>
    <row r="390" spans="1:6" ht="21.95" customHeight="1">
      <c r="A390" s="20">
        <f t="shared" si="5"/>
        <v>388</v>
      </c>
      <c r="B390" s="129"/>
      <c r="C390" s="129"/>
      <c r="D390" s="47"/>
      <c r="E390" s="47"/>
      <c r="F390" s="47"/>
    </row>
    <row r="391" spans="1:6" ht="21.95" customHeight="1">
      <c r="A391" s="20">
        <f t="shared" si="5"/>
        <v>389</v>
      </c>
      <c r="B391" s="129"/>
      <c r="C391" s="129"/>
      <c r="D391" s="47"/>
      <c r="E391" s="47"/>
      <c r="F391" s="47"/>
    </row>
    <row r="392" spans="1:6" ht="21.95" customHeight="1">
      <c r="A392" s="20">
        <f t="shared" si="5"/>
        <v>390</v>
      </c>
      <c r="B392" s="129"/>
      <c r="C392" s="129"/>
      <c r="D392" s="47"/>
      <c r="E392" s="47"/>
      <c r="F392" s="47"/>
    </row>
    <row r="393" spans="1:6" ht="21.95" customHeight="1">
      <c r="A393" s="20">
        <f t="shared" si="5"/>
        <v>391</v>
      </c>
      <c r="B393" s="129"/>
      <c r="C393" s="129"/>
      <c r="D393" s="47"/>
      <c r="E393" s="47"/>
      <c r="F393" s="47"/>
    </row>
    <row r="394" spans="1:6" ht="21.95" customHeight="1">
      <c r="A394" s="20">
        <f t="shared" si="5"/>
        <v>392</v>
      </c>
      <c r="B394" s="129"/>
      <c r="C394" s="129"/>
      <c r="D394" s="47"/>
      <c r="E394" s="47"/>
      <c r="F394" s="47"/>
    </row>
    <row r="395" spans="1:6" ht="21.95" customHeight="1">
      <c r="A395" s="20">
        <f t="shared" si="5"/>
        <v>393</v>
      </c>
      <c r="B395" s="129"/>
      <c r="C395" s="129"/>
      <c r="D395" s="47"/>
      <c r="E395" s="47"/>
      <c r="F395" s="47"/>
    </row>
    <row r="396" spans="1:6" ht="21.95" customHeight="1">
      <c r="A396" s="20">
        <f t="shared" si="5"/>
        <v>394</v>
      </c>
      <c r="B396" s="129"/>
      <c r="C396" s="129"/>
      <c r="D396" s="47"/>
      <c r="E396" s="47"/>
      <c r="F396" s="47"/>
    </row>
    <row r="397" spans="1:6" ht="21.95" customHeight="1">
      <c r="A397" s="20">
        <f t="shared" si="5"/>
        <v>395</v>
      </c>
      <c r="B397" s="129"/>
      <c r="C397" s="129"/>
      <c r="D397" s="47"/>
      <c r="E397" s="47"/>
      <c r="F397" s="47"/>
    </row>
    <row r="398" spans="1:6" ht="21.95" customHeight="1">
      <c r="A398" s="20">
        <f t="shared" si="5"/>
        <v>396</v>
      </c>
      <c r="B398" s="129"/>
      <c r="C398" s="129"/>
      <c r="D398" s="47"/>
      <c r="E398" s="47"/>
      <c r="F398" s="47"/>
    </row>
    <row r="399" spans="1:6" ht="21.95" customHeight="1">
      <c r="A399" s="20">
        <f t="shared" si="5"/>
        <v>397</v>
      </c>
      <c r="B399" s="129"/>
      <c r="C399" s="129"/>
      <c r="D399" s="47"/>
      <c r="E399" s="47"/>
      <c r="F399" s="47"/>
    </row>
    <row r="400" spans="1:6" ht="21.95" customHeight="1">
      <c r="A400" s="20">
        <f t="shared" si="5"/>
        <v>398</v>
      </c>
      <c r="B400" s="129"/>
      <c r="C400" s="129"/>
      <c r="D400" s="47"/>
      <c r="E400" s="47"/>
      <c r="F400" s="47"/>
    </row>
    <row r="401" spans="1:6" ht="21.95" customHeight="1">
      <c r="A401" s="20">
        <f t="shared" si="5"/>
        <v>399</v>
      </c>
      <c r="B401" s="129"/>
      <c r="C401" s="129"/>
      <c r="D401" s="47"/>
      <c r="E401" s="47"/>
      <c r="F401" s="47"/>
    </row>
    <row r="402" spans="1:6" ht="21.95" customHeight="1">
      <c r="A402" s="20">
        <f t="shared" si="5"/>
        <v>400</v>
      </c>
      <c r="B402" s="129"/>
      <c r="C402" s="129"/>
      <c r="D402" s="47"/>
      <c r="E402" s="47"/>
      <c r="F402" s="47"/>
    </row>
    <row r="403" spans="1:6" ht="21.95" customHeight="1">
      <c r="A403" s="20"/>
      <c r="B403" s="47"/>
      <c r="C403" s="129"/>
      <c r="D403" s="47"/>
      <c r="E403" s="47"/>
      <c r="F403" s="47"/>
    </row>
    <row r="404" spans="1:6" ht="21.95" customHeight="1">
      <c r="A404" s="20"/>
      <c r="B404" s="47"/>
      <c r="C404" s="129"/>
      <c r="D404" s="47"/>
      <c r="E404" s="47"/>
      <c r="F404" s="47"/>
    </row>
    <row r="405" spans="1:6" ht="21.95" customHeight="1">
      <c r="A405" s="20"/>
      <c r="B405" s="47"/>
      <c r="C405" s="129"/>
      <c r="D405" s="47"/>
      <c r="E405" s="47"/>
      <c r="F405" s="47"/>
    </row>
    <row r="406" spans="1:6" ht="21.95" customHeight="1">
      <c r="A406" s="20"/>
      <c r="B406" s="47"/>
      <c r="C406" s="129"/>
      <c r="D406" s="47"/>
      <c r="E406" s="47"/>
      <c r="F406" s="47"/>
    </row>
    <row r="407" spans="1:6" ht="21.95" customHeight="1">
      <c r="A407" s="20"/>
      <c r="B407" s="47"/>
      <c r="C407" s="129"/>
      <c r="D407" s="47"/>
      <c r="E407" s="47"/>
      <c r="F407" s="47"/>
    </row>
    <row r="408" spans="1:6" ht="21.95" customHeight="1">
      <c r="A408" s="20"/>
      <c r="B408" s="47"/>
      <c r="C408" s="129"/>
      <c r="D408" s="47"/>
      <c r="E408" s="47"/>
      <c r="F408" s="47"/>
    </row>
    <row r="409" spans="1:6" ht="21.95" customHeight="1">
      <c r="A409" s="20"/>
      <c r="B409" s="47"/>
      <c r="C409" s="129"/>
      <c r="D409" s="47"/>
      <c r="E409" s="47"/>
      <c r="F409" s="47"/>
    </row>
    <row r="410" spans="1:6" ht="21.95" customHeight="1">
      <c r="A410" s="20"/>
      <c r="B410" s="47"/>
      <c r="C410" s="129"/>
      <c r="D410" s="47"/>
      <c r="E410" s="47"/>
      <c r="F410" s="47"/>
    </row>
    <row r="411" spans="1:6" ht="21.95" customHeight="1">
      <c r="A411" s="20"/>
      <c r="B411" s="47"/>
      <c r="C411" s="129"/>
      <c r="D411" s="47"/>
      <c r="E411" s="47"/>
      <c r="F411" s="47"/>
    </row>
    <row r="412" spans="1:6" ht="21.95" customHeight="1">
      <c r="A412" s="20"/>
      <c r="B412" s="47"/>
      <c r="C412" s="129"/>
      <c r="D412" s="47"/>
      <c r="E412" s="47"/>
      <c r="F412" s="47"/>
    </row>
    <row r="413" spans="1:6" ht="21.95" customHeight="1">
      <c r="A413" s="20"/>
      <c r="B413" s="47"/>
      <c r="C413" s="129"/>
      <c r="D413" s="47"/>
      <c r="E413" s="47"/>
      <c r="F413" s="47"/>
    </row>
    <row r="414" spans="1:6" ht="21.95" customHeight="1">
      <c r="A414" s="20"/>
      <c r="B414" s="47"/>
      <c r="C414" s="129"/>
      <c r="D414" s="47"/>
      <c r="E414" s="47"/>
      <c r="F414" s="47"/>
    </row>
    <row r="415" spans="1:6" ht="21.95" customHeight="1">
      <c r="A415" s="20"/>
      <c r="B415" s="47"/>
      <c r="C415" s="129"/>
      <c r="D415" s="47"/>
      <c r="E415" s="47"/>
      <c r="F415" s="47"/>
    </row>
    <row r="416" spans="1:6" ht="21.95" customHeight="1">
      <c r="A416" s="20"/>
      <c r="B416" s="47"/>
      <c r="C416" s="129"/>
      <c r="D416" s="47"/>
      <c r="E416" s="47"/>
      <c r="F416" s="47"/>
    </row>
    <row r="417" spans="1:6" ht="21.95" customHeight="1">
      <c r="A417" s="20"/>
      <c r="B417" s="47"/>
      <c r="C417" s="129"/>
      <c r="D417" s="47"/>
      <c r="E417" s="47"/>
      <c r="F417" s="47"/>
    </row>
    <row r="418" spans="1:6" ht="21.95" customHeight="1">
      <c r="A418" s="20"/>
      <c r="B418" s="47"/>
      <c r="C418" s="129"/>
      <c r="D418" s="47"/>
      <c r="E418" s="47"/>
      <c r="F418" s="47"/>
    </row>
    <row r="419" spans="1:6" ht="21.95" customHeight="1">
      <c r="A419" s="20"/>
      <c r="B419" s="47"/>
      <c r="C419" s="129"/>
      <c r="D419" s="47"/>
      <c r="E419" s="47"/>
      <c r="F419" s="47"/>
    </row>
    <row r="420" spans="1:6" ht="21.95" customHeight="1">
      <c r="A420" s="20"/>
      <c r="B420" s="47"/>
      <c r="C420" s="129"/>
      <c r="D420" s="47"/>
      <c r="E420" s="47"/>
      <c r="F420" s="47"/>
    </row>
    <row r="421" spans="1:6" ht="21.95" customHeight="1">
      <c r="A421" s="20"/>
      <c r="B421" s="47"/>
      <c r="C421" s="129"/>
      <c r="D421" s="47"/>
      <c r="E421" s="47"/>
      <c r="F421" s="47"/>
    </row>
  </sheetData>
  <dataConsolidate/>
  <mergeCells count="1">
    <mergeCell ref="H2:J2"/>
  </mergeCells>
  <phoneticPr fontId="1"/>
  <conditionalFormatting sqref="C25:C27">
    <cfRule type="expression" dxfId="16" priority="1">
      <formula>$A24=$B$25</formula>
    </cfRule>
    <cfRule type="expression" dxfId="15" priority="2">
      <formula>OR(AND($K24&lt;&gt;$K23,$K24&lt;&gt;""),AND($K24&lt;&gt;"",$A23=$B$25,$K24=$K23))</formula>
    </cfRule>
  </conditionalFormatting>
  <conditionalFormatting sqref="C40">
    <cfRule type="expression" dxfId="14" priority="3">
      <formula>$A25=$B$25</formula>
    </cfRule>
    <cfRule type="expression" dxfId="13" priority="4">
      <formula>OR(AND($K25&lt;&gt;$K24,$K25&lt;&gt;""),AND($K25&lt;&gt;"",$A24=$B$25,$K25=$K24))</formula>
    </cfRule>
  </conditionalFormatting>
  <dataValidations count="1">
    <dataValidation type="list" allowBlank="1" showInputMessage="1" showErrorMessage="1" errorTitle="Error!!!" error="Nhập sai tên task rồi. Hãy kiểm tra lại nhé" promptTitle="Note!!!" prompt="Nhớ nhập đúng tên task và đúng Project cột bên trái nhé (Nhất là những task EP)" sqref="C40 C25:C27">
      <formula1>TaskNameList</formula1>
    </dataValidation>
  </dataValidations>
  <pageMargins left="0.7" right="0.7" top="0.75" bottom="0.75" header="0.3" footer="0.3"/>
  <pageSetup paperSize="9" orientation="portrait" horizontalDpi="4294967293"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Summary</vt:lpstr>
      <vt:lpstr>wwNVChuc</vt:lpstr>
      <vt:lpstr>Daily_Report</vt:lpstr>
      <vt:lpstr>Data</vt:lpstr>
      <vt:lpstr>MemberList</vt:lpstr>
      <vt:lpstr>PjNameList</vt:lpstr>
      <vt:lpstr>ProcessList</vt:lpstr>
      <vt:lpstr>StatusList</vt:lpstr>
      <vt:lpstr>TaskNameList</vt:lpstr>
    </vt:vector>
  </TitlesOfParts>
  <Company>w2solution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Spend Time</dc:title>
  <dc:subject>Vip</dc:subject>
  <dc:creator>Doan Van Cuong</dc:creator>
  <cp:lastModifiedBy>Nguyen Van Chuc</cp:lastModifiedBy>
  <cp:lastPrinted>2016-06-14T01:20:57Z</cp:lastPrinted>
  <dcterms:created xsi:type="dcterms:W3CDTF">2015-07-16T06:43:07Z</dcterms:created>
  <dcterms:modified xsi:type="dcterms:W3CDTF">2025-07-22T01:48:46Z</dcterms:modified>
</cp:coreProperties>
</file>